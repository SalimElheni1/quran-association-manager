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 أولاً" sheetId="1" state="visible" r:id="rId3"/>
    <sheet name="الأقسام" sheetId="2" state="visible" r:id="rId4"/>
    <sheet name="الاختبارات" sheetId="3" state="visible" r:id="rId5"/>
    <sheet name="الأخطاء والملاحظات" sheetId="4" state="visible" r:id="rId6"/>
    <sheet name="المختبرون" sheetId="5" state="visible" r:id="rId7"/>
    <sheet name="المتابعة" sheetId="6" state="visible" r:id="rId8"/>
  </sheets>
  <definedNames>
    <definedName function="false" hidden="true" localSheetId="2" name="_xlnm._FilterDatabase" vbProcedure="false">الاختبارات!$A$1:$M$140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<sst xmlns="http://schemas.openxmlformats.org/spreadsheetml/2006/main" count="1602" uniqueCount="1103">
  <si>
    <t xml:space="preserve">دليل اختبار برنامج إدارة فروع القرآن الكريم — الإصدار 1.4.0-beta.1</t>
  </si>
  <si>
    <t xml:space="preserve">شكراً لتطوعك! هدفنا اكتشاف الأخطاء قبل توزيع البرنامج على الفروع. لا تحتاج أي خبرة تقنية: اتبع الخطوات، وقارن ما تراه بالنتيجة المتوقعة، وسجّل ما وجدت.</t>
  </si>
  <si>
    <t xml:space="preserve">معلومات التواصل (يملؤها المنسق)</t>
  </si>
  <si>
    <t xml:space="preserve">المنسق</t>
  </si>
  <si>
    <t xml:space="preserve">الهاتف / واتساب</t>
  </si>
  <si>
    <t xml:space="preserve">رابط تحميل البرنامج</t>
  </si>
  <si>
    <t xml:space="preserve">رابط فيديوهات الشرح</t>
  </si>
  <si>
    <t xml:space="preserve">آخر أجل للاختبار</t>
  </si>
  <si>
    <t xml:space="preserve">كيف أعمل؟</t>
  </si>
  <si>
    <t xml:space="preserve">1. سجّل نفسك</t>
  </si>
  <si>
    <t xml:space="preserve">في تبويب «المختبرون» اكتب اسمك وهاتفك ونوع جهازك في أول سطر فارغ.</t>
  </si>
  <si>
    <t xml:space="preserve">2. احجز قسماً</t>
  </si>
  <si>
    <t xml:space="preserve">في تبويب «الأقسام» اختر قسماً حالته «متاح للحجز»، واختر اسمك في عمود «المختبِر المسؤول». ابدأ بقسم «التثبيت وأول تشغيل» إن كان جهازك جديداً. يمكنك حجز أكثر من قسم.</t>
  </si>
  <si>
    <t xml:space="preserve">3. نفّذ الاختبارات</t>
  </si>
  <si>
    <t xml:space="preserve">في تبويب «الاختبارات» تظهر اختباراتك باسمك (يمكنك تصفية العمود «المختبِر»). ابدأ بالأولوية «أساسي». اتبع «الخطوات» واحدة واحدة، ثم قارن ما حدث بـ «النتيجة المتوقعة».</t>
  </si>
  <si>
    <t xml:space="preserve">4. حدّث الحالة</t>
  </si>
  <si>
    <t xml:space="preserve">اختر الحالة من القائمة في عمود «الحالة» واكتب تاريخ اليوم. إن كان هناك شيء غريب اكتبه في «ملاحظات المختبِر» حتى لو نجح الاختبار.</t>
  </si>
  <si>
    <t xml:space="preserve">5. سجّل الأخطاء</t>
  </si>
  <si>
    <t xml:space="preserve">إن فشل اختبار: أضف سطراً في «الأخطاء والملاحظات» واكتب رقم الخطأ (مثلاً B-004) في عمود «رقم الخطأ» في سطر الاختبار.</t>
  </si>
  <si>
    <t xml:space="preserve">6. تابع التقدم</t>
  </si>
  <si>
    <t xml:space="preserve">تبويب «المتابعة» يحسب التقدم تلقائياً لكل قسم ولكل مختبِر.</t>
  </si>
  <si>
    <t xml:space="preserve">معنى الحالات</t>
  </si>
  <si>
    <t xml:space="preserve">لم يبدأ</t>
  </si>
  <si>
    <t xml:space="preserve">لم أنفذ الاختبار بعد.</t>
  </si>
  <si>
    <t xml:space="preserve">قيد التنفيذ</t>
  </si>
  <si>
    <t xml:space="preserve">بدأت ولم أكمل.</t>
  </si>
  <si>
    <t xml:space="preserve">نجح</t>
  </si>
  <si>
    <t xml:space="preserve">كل شيء حدث كما في «النتيجة المتوقعة».</t>
  </si>
  <si>
    <t xml:space="preserve">فشل</t>
  </si>
  <si>
    <t xml:space="preserve">حدث شيء مختلف عن المتوقع — سجّل خطأً.</t>
  </si>
  <si>
    <t xml:space="preserve">متوقف</t>
  </si>
  <si>
    <t xml:space="preserve">لم أستطع إكمال الاختبار (خطأ سابق يمنعني، أو ينقصني شيء). اكتب السبب في الملاحظات.</t>
  </si>
  <si>
    <t xml:space="preserve">درجة خطورة الخطأ</t>
  </si>
  <si>
    <t xml:space="preserve">عاجل</t>
  </si>
  <si>
    <t xml:space="preserve">يمنع العمل، أو يُضيّع بيانات، أو يُظهر مبالغ مالية خاطئة.</t>
  </si>
  <si>
    <t xml:space="preserve">مهم</t>
  </si>
  <si>
    <t xml:space="preserve">وظيفة لا تعمل كما يجب، لكن يمكن إكمال العمل بطريقة أخرى.</t>
  </si>
  <si>
    <t xml:space="preserve">بسيط</t>
  </si>
  <si>
    <t xml:space="preserve">نص خاطئ، شكل غير مرتب، إزعاج بسيط.</t>
  </si>
  <si>
    <t xml:space="preserve">اقتراح</t>
  </si>
  <si>
    <t xml:space="preserve">فكرة لتحسين البرنامج.</t>
  </si>
  <si>
    <t xml:space="preserve">مثال على تسجيل خطأ جيد</t>
  </si>
  <si>
    <t xml:space="preserve">رقم الاختبار</t>
  </si>
  <si>
    <t xml:space="preserve">FEE-02</t>
  </si>
  <si>
    <t xml:space="preserve">ماذا فعلت؟</t>
  </si>
  <si>
    <t xml:space="preserve">سجّلت دفعة 20 د.ت للطالب «يوسف بن أحمد» الذي عليه 50 د.ت، نقداً، رقم الوصل R-0005.</t>
  </si>
  <si>
    <t xml:space="preserve">ماذا حدث؟</t>
  </si>
  <si>
    <t xml:space="preserve">ظهرت رسالة النجاح لكن المتبقي بقي 50 د.ت، ولم يتغير إلا بعد إغلاق البرنامج وفتحه.</t>
  </si>
  <si>
    <t xml:space="preserve">ماذا كنت تتوقع؟</t>
  </si>
  <si>
    <t xml:space="preserve">أن يصبح المتبقي 30 د.ت مباشرة.</t>
  </si>
  <si>
    <t xml:space="preserve">الخطورة</t>
  </si>
  <si>
    <t xml:space="preserve">لقطة الشاشة</t>
  </si>
  <si>
    <t xml:space="preserve">رابط الصورة على Google Drive، أو «أرسلتها على واتساب».</t>
  </si>
  <si>
    <t xml:space="preserve">نصائح مهمة</t>
  </si>
  <si>
    <t xml:space="preserve">•</t>
  </si>
  <si>
    <t xml:space="preserve">استعمل بيانات وهمية فقط (أسماء وأرقام من خيالك). لا تُدخل بيانات أشخاص حقيقيين.</t>
  </si>
  <si>
    <t xml:space="preserve">لقطة الشاشة في Windows: اضغط Windows + Shift + S ثم حدد الجزء المطلوب، والصقه في رسالة واتساب أو ارفعه إلى Drive.</t>
  </si>
  <si>
    <t xml:space="preserve">إن ظهرت نافذة حماية Windows عند التثبيت: «مزيد من المعلومات» ثم «تشغيل على أي حال».</t>
  </si>
  <si>
    <t xml:space="preserve">لا تحذف أسطراً ولا أعمدة في هذا الملف. الخلايا الصفراء لك، والخلايا الرمادية تُحسب تلقائياً.</t>
  </si>
  <si>
    <t xml:space="preserve">الأقسام مستقلة: كل مختبِر يعمل على نسخته من البرنامج في جهازه. المتطلبات المسبقة لكل قسم مكتوبة في تبويب الأقسام.</t>
  </si>
  <si>
    <t xml:space="preserve">إن وجدت شيئاً غير مفهوم في البرنامج فهذا بحد ذاته ملاحظة مفيدة — سجّلها كـ «اقتراح».</t>
  </si>
  <si>
    <t xml:space="preserve">مفتاح الألوان:</t>
  </si>
  <si>
    <t xml:space="preserve">الخلايا الصفراء يملؤها المختبِر أو المنسق</t>
  </si>
  <si>
    <t xml:space="preserve">الخلايا الرمادية تُحسب تلقائياً — لا تعدّلها</t>
  </si>
  <si>
    <t xml:space="preserve">الرمز</t>
  </si>
  <si>
    <t xml:space="preserve">القسم</t>
  </si>
  <si>
    <t xml:space="preserve">ما يغطيه</t>
  </si>
  <si>
    <t xml:space="preserve">المدة (دقيقة)</t>
  </si>
  <si>
    <t xml:space="preserve">الحساب المطلوب</t>
  </si>
  <si>
    <t xml:space="preserve">المتطلبات المسبقة</t>
  </si>
  <si>
    <t xml:space="preserve">فيديو الشرح</t>
  </si>
  <si>
    <t xml:space="preserve">المختبِر المسؤول</t>
  </si>
  <si>
    <t xml:space="preserve">تاريخ الحجز</t>
  </si>
  <si>
    <t xml:space="preserve">عدد الاختبارات</t>
  </si>
  <si>
    <t xml:space="preserve">المنجز</t>
  </si>
  <si>
    <t xml:space="preserve">التقدم</t>
  </si>
  <si>
    <t xml:space="preserve">الحالة</t>
  </si>
  <si>
    <t xml:space="preserve">INS</t>
  </si>
  <si>
    <t xml:space="preserve">التثبيت وأول تشغيل</t>
  </si>
  <si>
    <t xml:space="preserve">تثبيت البرنامج، إنشاء حساب المدير، تسجيل الدخول والخروج، الدليل التعريفي، صفحة «حول التطبيق»</t>
  </si>
  <si>
    <t xml:space="preserve">مدير النظام</t>
  </si>
  <si>
    <t xml:space="preserve">جهاز Windows وملف التثبيت</t>
  </si>
  <si>
    <t xml:space="preserve">الفصل 1</t>
  </si>
  <si>
    <t xml:space="preserve">SET</t>
  </si>
  <si>
    <t xml:space="preserve">الإعدادات والفئات العمرية</t>
  </si>
  <si>
    <t xml:space="preserve">بيانات الجمعية، الشعارات، إعدادات الرسوم والسنة الدراسية، الفئات العمرية</t>
  </si>
  <si>
    <t xml:space="preserve">إكمال قسم التثبيت (INS)</t>
  </si>
  <si>
    <t xml:space="preserve">الفصل 2</t>
  </si>
  <si>
    <t xml:space="preserve">USR</t>
  </si>
  <si>
    <t xml:space="preserve">المستخدمون والصلاحيات</t>
  </si>
  <si>
    <t xml:space="preserve">إضافة المستخدمين بكل الأدوار، التعديل والحذف، الدخول بكل دور والتحقق مما يظهر له، الملف الشخصي وكلمة المرور</t>
  </si>
  <si>
    <t xml:space="preserve">مدير النظام + الأدوار الأخرى</t>
  </si>
  <si>
    <t xml:space="preserve">TCH</t>
  </si>
  <si>
    <t xml:space="preserve">المعلمون</t>
  </si>
  <si>
    <t xml:space="preserve">إضافة المعلمين والتحقق من الحقول، البحث والتصفية، التفاصيل، التعديل والحذف، التصدير والاستيراد</t>
  </si>
  <si>
    <t xml:space="preserve">الفصل 3</t>
  </si>
  <si>
    <t xml:space="preserve">STU</t>
  </si>
  <si>
    <t xml:space="preserve">الطلاب</t>
  </si>
  <si>
    <t xml:space="preserve">إضافة الطلاب بكل أنواعهم، التحقق من الحقول، الحفظ القرآني، البحث والتصفية، التعديل والحذف، التصدير والاستيراد</t>
  </si>
  <si>
    <t xml:space="preserve">إكمال قسم التثبيت (INS)؛ يفضل وجود فصل واحد على الأقل</t>
  </si>
  <si>
    <t xml:space="preserve">الفصل 4</t>
  </si>
  <si>
    <t xml:space="preserve">CLS</t>
  </si>
  <si>
    <t xml:space="preserve">الفصول وتسجيل الطلاب</t>
  </si>
  <si>
    <t xml:space="preserve">إنشاء الفصول والمواعيد، الحالات، المعلوم الخاص، تسجيل الطلاب وإلغاؤه، تحذيرات السن والجنس، فصول اليوم</t>
  </si>
  <si>
    <t xml:space="preserve">معلم واحد و5 طلاب على الأقل بأعمار وأجناس مختلفة</t>
  </si>
  <si>
    <t xml:space="preserve">الفصل 5</t>
  </si>
  <si>
    <t xml:space="preserve">ATT</t>
  </si>
  <si>
    <t xml:space="preserve">الحضور والغياب</t>
  </si>
  <si>
    <t xml:space="preserve">تسجيل الحضور، القفل والتعديل، السجلات المحفوظة، التواريخ السابقة، التصدير والاستيراد</t>
  </si>
  <si>
    <t xml:space="preserve">مدير النظام أو مشرف حصص</t>
  </si>
  <si>
    <t xml:space="preserve">فصل نشط فيه 3 طلاب على الأقل</t>
  </si>
  <si>
    <t xml:space="preserve">الفصل 6</t>
  </si>
  <si>
    <t xml:space="preserve">FEE</t>
  </si>
  <si>
    <t xml:space="preserve">رسوم الطلاب والدفعات</t>
  </si>
  <si>
    <t xml:space="preserve">توليد الرسوم، الدفعات الجزئية والكاملة والزائدة، الوصل، الحذف والاسترجاع، المعفى والمكفول والخصم، الفصول ذات المعلوم الخاص، الدفع السنوي، فئة الرسوم</t>
  </si>
  <si>
    <t xml:space="preserve">مدير النظام أو مسؤول مالي</t>
  </si>
  <si>
    <t xml:space="preserve">رسوم مضبوطة في الإعدادات، وطلاب مسجلون في فصول</t>
  </si>
  <si>
    <t xml:space="preserve">الفصل 7</t>
  </si>
  <si>
    <t xml:space="preserve">FIN</t>
  </si>
  <si>
    <t xml:space="preserve">المداخيل والمصاريف ولوحة التحكم المالية</t>
  </si>
  <si>
    <t xml:space="preserve">تسجيل المداخيل والمصاريف، قاعدة 500 دينار، الوصولات، التعديل والحذف، الفئات، التصفية، لوحة التحكم والفترات</t>
  </si>
  <si>
    <t xml:space="preserve">الفصل 8</t>
  </si>
  <si>
    <t xml:space="preserve">INV</t>
  </si>
  <si>
    <t xml:space="preserve">الجرد والتبرعات العينية</t>
  </si>
  <si>
    <t xml:space="preserve">أصناف المخزون، القيمة الإجمالية، التبرعات العينية، التعديل والحذف، تصدير سجل الجرد</t>
  </si>
  <si>
    <t xml:space="preserve">REP</t>
  </si>
  <si>
    <t xml:space="preserve">التقارير والتصدير</t>
  </si>
  <si>
    <t xml:space="preserve">التقرير المالي (Word)، سجل المحاسبة (Excel)، سجل الجرد، تصدير قوائم الطلاب والمعلمين والفصول والحضور، التحقق من محتوى الملفات</t>
  </si>
  <si>
    <t xml:space="preserve">بيانات مالية وطلاب مسجلون (من الأقسام السابقة)</t>
  </si>
  <si>
    <t xml:space="preserve">BAK</t>
  </si>
  <si>
    <t xml:space="preserve">النسخ الاحتياطي والاستعادة</t>
  </si>
  <si>
    <t xml:space="preserve">رمز النقل، النسخ اليدوي والتلقائي، تذكير النسخ، استعادة قاعدة بيانات، النقل إلى جهاز آخر</t>
  </si>
  <si>
    <t xml:space="preserve">بعض البيانات في البرنامج؛ مفتاح USB أو مجلد فارغ</t>
  </si>
  <si>
    <t xml:space="preserve">الفصل 9</t>
  </si>
  <si>
    <t xml:space="preserve">GEN</t>
  </si>
  <si>
    <t xml:space="preserve">الاستعمال العام والاستكشاف الحر</t>
  </si>
  <si>
    <t xml:space="preserve">القائمة الجانبية، حجم النافذة، الكتابة بالعربية، الإغلاق وإعادة الفتح، سرعة البرنامج مع بيانات كثيرة، الاستعمال الحر</t>
  </si>
  <si>
    <t xml:space="preserve">كل الأدوار</t>
  </si>
  <si>
    <t xml:space="preserve">بيانات من الأقسام الأخرى</t>
  </si>
  <si>
    <t xml:space="preserve">الرقم</t>
  </si>
  <si>
    <t xml:space="preserve">اسم القسم</t>
  </si>
  <si>
    <t xml:space="preserve">الاختبار</t>
  </si>
  <si>
    <t xml:space="preserve">الخطوات</t>
  </si>
  <si>
    <t xml:space="preserve">النتيجة المتوقعة</t>
  </si>
  <si>
    <t xml:space="preserve">الأولوية</t>
  </si>
  <si>
    <t xml:space="preserve">المختبِر</t>
  </si>
  <si>
    <t xml:space="preserve">تاريخ الاختبار</t>
  </si>
  <si>
    <t xml:space="preserve">ملاحظات المختبِر</t>
  </si>
  <si>
    <t xml:space="preserve">رقم الخطأ</t>
  </si>
  <si>
    <t xml:space="preserve">INS-01</t>
  </si>
  <si>
    <t xml:space="preserve">تثبيت البرنامج</t>
  </si>
  <si>
    <t xml:space="preserve">ملف التثبيت (exe)</t>
  </si>
  <si>
    <t xml:space="preserve">1. شغّل ملف التثبيت.
2. إن ظهرت نافذة حماية Windows (SmartScreen) اضغط «مزيد من المعلومات» ثم «تشغيل على أي حال».
3. أكمل التثبيت.</t>
  </si>
  <si>
    <t xml:space="preserve">يكتمل التثبيت ويظهر اختصار البرنامج، ويفتح البرنامج على شاشة «إنشاء مدير النظام».</t>
  </si>
  <si>
    <t xml:space="preserve">أساسي</t>
  </si>
  <si>
    <t xml:space="preserve">INS-02</t>
  </si>
  <si>
    <t xml:space="preserve">رفض بيانات غير صالحة عند إنشاء المدير</t>
  </si>
  <si>
    <t xml:space="preserve">أول تشغيل</t>
  </si>
  <si>
    <t xml:space="preserve">1. اكتب اسم مستخدم بالعربية (مثلاً: احمد).
2. اكتب كلمة مرور قصيرة (3 أحرف).
3. اكتب تأكيداً مختلفاً عن كلمة المرور.
4. اضغط «إنشاء مدير النظام» بعد كل خطأ.</t>
  </si>
  <si>
    <t xml:space="preserve">تظهر رسالة خطأ واضحة بالعربية لكل حالة، ولا يُنشأ الحساب.</t>
  </si>
  <si>
    <t xml:space="preserve">INS-03</t>
  </si>
  <si>
    <t xml:space="preserve">إنشاء حساب مدير النظام</t>
  </si>
  <si>
    <t xml:space="preserve">1. اكتب اسم مستخدم بالإنجليزية (مثلاً: admin1).
2. اكتب كلمة مرور قوية وأعد كتابتها.
3. اضغط «إنشاء مدير النظام».</t>
  </si>
  <si>
    <t xml:space="preserve">يُنشأ الحساب وتظهر شاشة «تسجيل الدخول». لا تظهر شاشة إنشاء المدير مرة أخرى.</t>
  </si>
  <si>
    <t xml:space="preserve">INS-04</t>
  </si>
  <si>
    <t xml:space="preserve">تسجيل الدخول بكلمة مرور خاطئة</t>
  </si>
  <si>
    <t xml:space="preserve">حساب المدير موجود</t>
  </si>
  <si>
    <t xml:space="preserve">1. اكتب اسم المستخدم الصحيح وكلمة مرور خاطئة.
2. اضغط «تسجيل الدخول».</t>
  </si>
  <si>
    <t xml:space="preserve">رسالة «اسم المستخدم أو كلمة المرور غير صحيحة»، ولا يتم الدخول.</t>
  </si>
  <si>
    <t xml:space="preserve">INS-05</t>
  </si>
  <si>
    <t xml:space="preserve">قفل الدخول بعد 5 محاولات خاطئة</t>
  </si>
  <si>
    <t xml:space="preserve">1. أدخل كلمة مرور خاطئة 5 مرات متتالية.
2. أدخل بعدها كلمة المرور الصحيحة.
3. انتظر 5 دقائق وأعد المحاولة بكلمة المرور الصحيحة.</t>
  </si>
  <si>
    <t xml:space="preserve">بعد 5 محاولات يُقفل الدخول مؤقتاً مع رسالة تذكر مدة الانتظار، حتى مع كلمة المرور الصحيحة. بعد 5 دقائق يتم الدخول بشكل عادي.</t>
  </si>
  <si>
    <t xml:space="preserve">INS-06</t>
  </si>
  <si>
    <t xml:space="preserve">تسجيل الدخول بنجاح</t>
  </si>
  <si>
    <t xml:space="preserve">1. أدخل اسم المستخدم وكلمة المرور الصحيحين.
2. اضغط «تسجيل الدخول».</t>
  </si>
  <si>
    <t xml:space="preserve">تفتح «لوحة التحكم الرئيسية»، ويظهر الدليل التعريفي عند أول دخول.</t>
  </si>
  <si>
    <t xml:space="preserve">INS-07</t>
  </si>
  <si>
    <t xml:space="preserve">الدليل التعريفي</t>
  </si>
  <si>
    <t xml:space="preserve">أول دخول</t>
  </si>
  <si>
    <t xml:space="preserve">1. تنقّل في الدليل بزري «التالي» و«السابق».
2. اضغط «إيقاف العرض».
3. في الصفحة الرئيسية اضغط «تشغيل دليل الإعداد».
4. جرّب «متابعة» ثم أعد التجربة مع «البدء من البداية».</t>
  </si>
  <si>
    <t xml:space="preserve">الدليل يشرح الأقسام بالترتيب، ويختفي عند الإيقاف، ويمكن إعادة تشغيله من الصفحة الرئيسية ومتابعته من آخر خطوة أو من البداية.</t>
  </si>
  <si>
    <t xml:space="preserve">INS-08</t>
  </si>
  <si>
    <t xml:space="preserve">الصفحة الرئيسية</t>
  </si>
  <si>
    <t xml:space="preserve">تم الدخول</t>
  </si>
  <si>
    <t xml:space="preserve">1. راجع بطاقات الإحصائيات (الطلاب النشطون، المعلمون، الفصول النشطة).
2. جرّب أزرار «إجراءات سريعة».
3. راجع قسم «فصول اليوم».</t>
  </si>
  <si>
    <t xml:space="preserve">الأرقام صحيحة (صفر في البداية)، والأزرار السريعة تفتح النماذج الصحيحة، وتظهر رسالة «لا توجد فصول مجدولة لهذا اليوم» عند عدم وجود فصول.</t>
  </si>
  <si>
    <t xml:space="preserve">INS-09</t>
  </si>
  <si>
    <t xml:space="preserve">تسجيل الخروج</t>
  </si>
  <si>
    <t xml:space="preserve">1. اضغط «خروج» أسفل القائمة الجانبية.</t>
  </si>
  <si>
    <t xml:space="preserve">العودة إلى شاشة تسجيل الدخول (وليس شاشة إنشاء المدير).</t>
  </si>
  <si>
    <t xml:space="preserve">INS-10</t>
  </si>
  <si>
    <t xml:space="preserve">إغلاق البرنامج وإعادة فتحه</t>
  </si>
  <si>
    <t xml:space="preserve">بعض البيانات مسجلة</t>
  </si>
  <si>
    <t xml:space="preserve">1. أضف طالباً (أي بيانات تجريبية).
2. أغلق البرنامج تماماً.
3. أعد فتحه وسجّل الدخول.</t>
  </si>
  <si>
    <t xml:space="preserve">البيانات محفوظة، ويُطلب تسجيل الدخول من جديد.</t>
  </si>
  <si>
    <t xml:space="preserve">INS-11</t>
  </si>
  <si>
    <t xml:space="preserve">صفحة «حول التطبيق»</t>
  </si>
  <si>
    <t xml:space="preserve">1. افتح «حول التطبيق».
2. تصفح تبويبات «عن التطبيق» و«تفاصيل تقنية» و«الدعم والمساهمة».</t>
  </si>
  <si>
    <t xml:space="preserve">تظهر المعلومات ورقم الإصدار (1.4.0-beta.1) بدون أخطاء، والروابط تعمل.</t>
  </si>
  <si>
    <t xml:space="preserve">إضافي</t>
  </si>
  <si>
    <t xml:space="preserve">SET-01</t>
  </si>
  <si>
    <t xml:space="preserve">بيانات الجمعية/الفرع</t>
  </si>
  <si>
    <t xml:space="preserve">تم الدخول كمدير</t>
  </si>
  <si>
    <t xml:space="preserve">1. الإعدادات ← «بيانات الجمعية/الفرع».
2. املأ اسم الجمعية الوطنية والفرع الجهوي والمحلي واسم الرئيس.
3. اضغط «حفظ جميع التغييرات».
4. انتقل إلى صفحة أخرى ثم ارجع.</t>
  </si>
  <si>
    <t xml:space="preserve">رسالة نجاح، والبيانات تبقى محفوظة بعد التنقل وبعد إعادة فتح البرنامج.</t>
  </si>
  <si>
    <t xml:space="preserve">SET-02</t>
  </si>
  <si>
    <t xml:space="preserve">رفع الشعارات</t>
  </si>
  <si>
    <t xml:space="preserve">صورة شعار (PNG أو JPG)</t>
  </si>
  <si>
    <t xml:space="preserve">1. تبويب «الهوية البصرية».
2. ارفع «شعار الجمعية الوطنية» و«شعار الفرع المحلي».
3. احفظ وراجع القائمة الجانبية.</t>
  </si>
  <si>
    <t xml:space="preserve">تظهر الصورتان في المعاينة وفي القائمة الجانبية، وتبقيان بعد إعادة فتح البرنامج.</t>
  </si>
  <si>
    <t xml:space="preserve">SET-03</t>
  </si>
  <si>
    <t xml:space="preserve">رفع ملف غير صالح كشعار</t>
  </si>
  <si>
    <t xml:space="preserve">ملف ليس صورة (مثلاً PDF)</t>
  </si>
  <si>
    <t xml:space="preserve">1. حاول رفع ملف ليس صورة كشعار.</t>
  </si>
  <si>
    <t xml:space="preserve">رسالة خطأ واضحة، ويبقى الشعار السابق كما هو.</t>
  </si>
  <si>
    <t xml:space="preserve">SET-04</t>
  </si>
  <si>
    <t xml:space="preserve">إعدادات الرسوم</t>
  </si>
  <si>
    <t xml:space="preserve">1. تبويب «إعدادات الرسوم».
2. أدخل الرسم السنوي (مثلاً 30) والرسوم الشهرية (مثلاً 20).
3. احفظ.</t>
  </si>
  <si>
    <t xml:space="preserve">رسالة نجاح، والقيم محفوظة بعد التنقل. تظهر الملاحظات حول أثر تغيير الرسوم.</t>
  </si>
  <si>
    <t xml:space="preserve">SET-05</t>
  </si>
  <si>
    <t xml:space="preserve">قيم رسوم غير صالحة</t>
  </si>
  <si>
    <t xml:space="preserve">1. أدخل رقماً سالباً (مثلاً -10) في الرسوم الشهرية.
2. أدخل حروفاً بدل الأرقام.
3. احفظ.</t>
  </si>
  <si>
    <t xml:space="preserve">يرفض البرنامج القيم غير الصالحة برسالة واضحة.</t>
  </si>
  <si>
    <t xml:space="preserve">SET-06</t>
  </si>
  <si>
    <t xml:space="preserve">شهر بداية السنة الدراسية ويوم التوليد</t>
  </si>
  <si>
    <t xml:space="preserve">1. غيّر «شهر بداية السنة الدراسية» (مثلاً إلى أكتوبر) واحفظ.
2. افتح الشؤون المالية ← رسوم الطلاب وراجع السنة الدراسية المعروضة.
3. أرجع الشهر إلى سبتمبر.
4. غيّر «يوم توليد رسوم الشهر القادم» (مثلاً 20) واحفظ.</t>
  </si>
  <si>
    <t xml:space="preserve">القيم تُحفظ، والسنة الدراسية المعروضة في رسوم الطلاب تتبع الشهر المختار.</t>
  </si>
  <si>
    <t xml:space="preserve">SET-07</t>
  </si>
  <si>
    <t xml:space="preserve">الفئات العمرية الافتراضية</t>
  </si>
  <si>
    <t xml:space="preserve">1. افتح تبويب «فئات عمرية».
2. راجع الجدول: الاسم، النطاق العمري، النوع، نظام الدفع، الرسوم.</t>
  </si>
  <si>
    <t xml:space="preserve">تظهر الفئات الافتراضية (الأطفال، الناشئون...) مع نظام الدفع «شهري» والرسوم الافتراضية للفرع.</t>
  </si>
  <si>
    <t xml:space="preserve">SET-08</t>
  </si>
  <si>
    <t xml:space="preserve">إضافة فئة عمرية</t>
  </si>
  <si>
    <t xml:space="preserve">1. اضغط «إضافة فئة جديدة».
2. الاسم: «الكبار»، النوع: الكل، العمر الأدنى 25، اترك الأقصى فارغاً.
3. نظام الدفع: سنوي، الرسوم السنوية: 60.
4. احفظ.</t>
  </si>
  <si>
    <t xml:space="preserve">تظهر الفئة في الجدول بالقيم المدخلة، والعمر الأقصى غير محدود.</t>
  </si>
  <si>
    <t xml:space="preserve">SET-09</t>
  </si>
  <si>
    <t xml:space="preserve">التحقق من الأعمار في الفئة العمرية</t>
  </si>
  <si>
    <t xml:space="preserve">1. أضف فئة عمرها الأدنى 15 والأقصى 10.
2. احفظ.</t>
  </si>
  <si>
    <t xml:space="preserve">رسالة خطأ: العمر الأقصى يجب أن يكون أكبر من الأدنى، ولا تُحفظ الفئة.</t>
  </si>
  <si>
    <t xml:space="preserve">SET-10</t>
  </si>
  <si>
    <t xml:space="preserve">تعديل فئة عمرية ورسومها</t>
  </si>
  <si>
    <t xml:space="preserve">فئة موجودة</t>
  </si>
  <si>
    <t xml:space="preserve">1. اضغط «تعديل» على فئة.
2. غيّر الرسوم الشهرية إلى 25 ونظام الدفع.
3. احفظ.</t>
  </si>
  <si>
    <t xml:space="preserve">تُحفظ التعديلات وتظهر في الجدول. الملاحظة توضح أن التغيير يطبق من الفاتورة القادمة.</t>
  </si>
  <si>
    <t xml:space="preserve">SET-11</t>
  </si>
  <si>
    <t xml:space="preserve">حذف (إيقاف) فئة عمرية</t>
  </si>
  <si>
    <t xml:space="preserve">فئة غير مستعملة</t>
  </si>
  <si>
    <t xml:space="preserve">1. اضغط «حذف» على فئة وأكّد.
2. افتح «إضافة فصل» وراجع قائمة الفئات العمرية.</t>
  </si>
  <si>
    <t xml:space="preserve">تختفي الفئة من القائمة ولا تظهر عند إنشاء فصل جديد.</t>
  </si>
  <si>
    <t xml:space="preserve">USR-01</t>
  </si>
  <si>
    <t xml:space="preserve">إضافة مستخدم «الهيئة المديرة»</t>
  </si>
  <si>
    <t xml:space="preserve">تم الدخول كمدير النظام</t>
  </si>
  <si>
    <t xml:space="preserve">1. إدارة المستخدمين ← «إضافة مستخدم جديد».
2. املأ اسم المستخدم (بالإنجليزية) وكلمة المرور والاسم واللقب ورقم الهوية (8 أرقام) والهاتف (8 أرقام).
3. اختر الدور «الهيئة المديرة» واحفظ.</t>
  </si>
  <si>
    <t xml:space="preserve">يظهر المستخدم في الجدول بالدور الصحيح وحالة «نشط».</t>
  </si>
  <si>
    <t xml:space="preserve">USR-02</t>
  </si>
  <si>
    <t xml:space="preserve">إضافة «مسؤول مالي» و«مشرف حصص»</t>
  </si>
  <si>
    <t xml:space="preserve">1. أضف مستخدماً بدور «مسؤول مالي» فقط.
2. أضف مستخدماً بدور «مشرف حصص» فقط.</t>
  </si>
  <si>
    <t xml:space="preserve">يظهر المستخدمان بأدوارهما الصحيحة.</t>
  </si>
  <si>
    <t xml:space="preserve">USR-03</t>
  </si>
  <si>
    <t xml:space="preserve">التحقق من حقول المستخدم</t>
  </si>
  <si>
    <t xml:space="preserve">1. اسم مستخدم بالعربية.
2. كلمة مرور قصيرة.
3. هاتف من 7 أرقام.
4. اسم مستخدم مكرر (مستعمل من قبل).
5. بدون أي دور.</t>
  </si>
  <si>
    <t xml:space="preserve">رسالة خطأ واضحة لكل حالة، ولا يُحفظ المستخدم.</t>
  </si>
  <si>
    <t xml:space="preserve">USR-04</t>
  </si>
  <si>
    <t xml:space="preserve">صلاحيات «الهيئة المديرة»</t>
  </si>
  <si>
    <t xml:space="preserve">مستخدم بهذا الدور</t>
  </si>
  <si>
    <t xml:space="preserve">1. سجّل الخروج وادخل بحساب «الهيئة المديرة».
2. راجع القائمة الجانبية وجرّب كل صفحة.</t>
  </si>
  <si>
    <t xml:space="preserve">يرى الطلاب والمعلمين والفصول والحضور. لا يستطيع تعديل المستخدمين أو فتح ما هو خاص بمدير النظام. سجّل ما يظهر بالضبط في الملاحظات.</t>
  </si>
  <si>
    <t xml:space="preserve">USR-05</t>
  </si>
  <si>
    <t xml:space="preserve">صلاحيات «المسؤول المالي»</t>
  </si>
  <si>
    <t xml:space="preserve">1. ادخل بحساب «مسؤول مالي».
2. راجع القائمة الجانبية وجرّب كل صفحة.</t>
  </si>
  <si>
    <t xml:space="preserve">يرى «الشؤون المالية» ويعمل فيها، ويرى الطلاب للاطلاع فقط (لا إضافة ولا تعديل ولا حذف). لا يرى الإعدادات ولا المستخدمين.</t>
  </si>
  <si>
    <t xml:space="preserve">USR-06</t>
  </si>
  <si>
    <t xml:space="preserve">صلاحيات «مشرف الحصص»</t>
  </si>
  <si>
    <t xml:space="preserve">1. ادخل بحساب «مشرف حصص».
2. راجع القائمة الجانبية وجرّب كل صفحة.</t>
  </si>
  <si>
    <t xml:space="preserve">يرى «الحضور والغياب» ويسجل الحضور، ويرى الطلاب والفصول للاطلاع فقط. لا يرى الشؤون المالية ولا الإعدادات.</t>
  </si>
  <si>
    <t xml:space="preserve">USR-07</t>
  </si>
  <si>
    <t xml:space="preserve">تعديل مستخدم</t>
  </si>
  <si>
    <t xml:space="preserve">مستخدم موجود</t>
  </si>
  <si>
    <t xml:space="preserve">1. اضغط «تعديل» على مستخدم.
2. غيّر الهاتف والدور، واترك كلمة المرور فارغة.
3. احفظ ثم ادخل بحسابه.</t>
  </si>
  <si>
    <t xml:space="preserve">تُحفظ التعديلات، وكلمة المرور القديمة ما زالت تعمل، والصلاحيات تتبع الدور الجديد. اسم المستخدم لا يمكن تغييره.</t>
  </si>
  <si>
    <t xml:space="preserve">USR-08</t>
  </si>
  <si>
    <t xml:space="preserve">مستخدم «غير نشط» يحاول الدخول</t>
  </si>
  <si>
    <t xml:space="preserve">1. عدّل مستخدماً واجعل حالته «غير نشط».
2. سجّل الخروج وحاول الدخول بحسابه.</t>
  </si>
  <si>
    <t xml:space="preserve">يجب ألا يتمكن المستخدم غير النشط من الدخول. (إن تمكن من الدخول، سجّل ذلك كخطأ.)</t>
  </si>
  <si>
    <t xml:space="preserve">USR-09</t>
  </si>
  <si>
    <t xml:space="preserve">حذف مستخدم</t>
  </si>
  <si>
    <t xml:space="preserve">مستخدم تجريبي</t>
  </si>
  <si>
    <t xml:space="preserve">1. اضغط «حذف» على مستخدم وأكّد.
2. حاول الدخول بحسابه.</t>
  </si>
  <si>
    <t xml:space="preserve">يختفي من الجدول ولا يستطيع الدخول.</t>
  </si>
  <si>
    <t xml:space="preserve">USR-10</t>
  </si>
  <si>
    <t xml:space="preserve">البحث والتصفية في المستخدمين</t>
  </si>
  <si>
    <t xml:space="preserve">3 مستخدمين على الأقل</t>
  </si>
  <si>
    <t xml:space="preserve">1. ابحث بجزء من الاسم.
2. صفِّ حسب «الدور» ثم حسب «الحالة».</t>
  </si>
  <si>
    <t xml:space="preserve">تظهر النتائج المطابقة فقط، وتعود القائمة كاملة عند مسح البحث.</t>
  </si>
  <si>
    <t xml:space="preserve">USR-11</t>
  </si>
  <si>
    <t xml:space="preserve">الملف الشخصي</t>
  </si>
  <si>
    <t xml:space="preserve">1. افتح «ملفي الشخصي».
2. عدّل الهاتف والمهنة واضغط «حفظ معلوماتي».
3. أعد فتح الصفحة.</t>
  </si>
  <si>
    <t xml:space="preserve">رسالة نجاح والمعلومات محفوظة.</t>
  </si>
  <si>
    <t xml:space="preserve">USR-12</t>
  </si>
  <si>
    <t xml:space="preserve">تغيير كلمة المرور</t>
  </si>
  <si>
    <t xml:space="preserve">1. في «ملفي الشخصي»: أدخل كلمة مرور حالية خاطئة.
2. أدخل تأكيداً غير مطابق.
3. أدخل البيانات الصحيحة واحفظ.
4. اخرج وادخل بكلمة المرور الجديدة.</t>
  </si>
  <si>
    <t xml:space="preserve">رسالة خطأ في الحالتين الأوليين؛ ثم تنجح العملية والدخول يتم بكلمة المرور الجديدة فقط.</t>
  </si>
  <si>
    <t xml:space="preserve">USR-13</t>
  </si>
  <si>
    <t xml:space="preserve">تصدير واستيراد المستخدمين</t>
  </si>
  <si>
    <t xml:space="preserve">بعض المستخدمين</t>
  </si>
  <si>
    <t xml:space="preserve">1. «تصدير البيانات» واختر الحقول والصيغة.
2. «استيراد البيانات» ← «إنشاء قالب»، املأ مستخدمين اثنين، ثم «بدء معالج الاستيراد».</t>
  </si>
  <si>
    <t xml:space="preserve">يُنشأ ملف التصدير بالعربية. الاستيراد يضيف المستخدمين ويعرض كلمات مرورهم المؤقتة. عند دخولهم أول مرة يُطلب منهم تغيير كلمة المرور إن كانت افتراضية.</t>
  </si>
  <si>
    <t xml:space="preserve">TCH-01</t>
  </si>
  <si>
    <t xml:space="preserve">إضافة معلم</t>
  </si>
  <si>
    <t xml:space="preserve">1. شؤون المعلمين ← «إضافة معلم».
2. املأ الاسم والهاتف (8 أرقام) والجنس وبقية الحقول.
3. احفظ.</t>
  </si>
  <si>
    <t xml:space="preserve">رسالة «تمت إضافة المعلم» ويظهر في الجدول مع رقم تعريفي.</t>
  </si>
  <si>
    <t xml:space="preserve">TCH-02</t>
  </si>
  <si>
    <t xml:space="preserve">التحقق من حقول المعلم</t>
  </si>
  <si>
    <t xml:space="preserve">1. هاتف من 7 أرقام.
2. بدون اسم.
3. بريد إلكتروني غير صالح (مثلاً abc).
4. رقم هوية من 5 أرقام.</t>
  </si>
  <si>
    <t xml:space="preserve">رسالة خطأ لكل حالة، والنافذة تبقى مفتوحة، ولا يُضاف المعلم.</t>
  </si>
  <si>
    <t xml:space="preserve">TCH-03</t>
  </si>
  <si>
    <t xml:space="preserve">البحث والتصفية</t>
  </si>
  <si>
    <t xml:space="preserve">3 معلمين على الأقل</t>
  </si>
  <si>
    <t xml:space="preserve">1. ابحث بجزء من الاسم ثم بالرقم التعريفي.
2. صفِّ حسب الجنس.
3. امسح البحث.</t>
  </si>
  <si>
    <t xml:space="preserve">تظهر النتائج المطابقة فقط، ورسالة «لا توجد نتائج» عند عدم التطابق، وتعود القائمة كاملة.</t>
  </si>
  <si>
    <t xml:space="preserve">TCH-04</t>
  </si>
  <si>
    <t xml:space="preserve">عرض تفاصيل معلم</t>
  </si>
  <si>
    <t xml:space="preserve">معلم موجود</t>
  </si>
  <si>
    <t xml:space="preserve">1. اضغط «عرض التفاصيل».</t>
  </si>
  <si>
    <t xml:space="preserve">تظهر كل المعلومات المدخلة بشكل صحيح.</t>
  </si>
  <si>
    <t xml:space="preserve">TCH-05</t>
  </si>
  <si>
    <t xml:space="preserve">تعديل معلم</t>
  </si>
  <si>
    <t xml:space="preserve">1. اضغط «تعديل»، غيّر الاسم والهاتف واحفظ.</t>
  </si>
  <si>
    <t xml:space="preserve">رسالة نجاح والتعديلات ظاهرة في الجدول وفي الفصول المسندة إليه.</t>
  </si>
  <si>
    <t xml:space="preserve">TCH-06</t>
  </si>
  <si>
    <t xml:space="preserve">حذف معلم مسند إلى فصل</t>
  </si>
  <si>
    <t xml:space="preserve">معلم مسند إلى فصل</t>
  </si>
  <si>
    <t xml:space="preserve">1. احذف معلماً مسنداً إلى فصل.
2. افتح الفصل.</t>
  </si>
  <si>
    <t xml:space="preserve">يُحذف المعلم (أو يرفض البرنامج الحذف برسالة واضحة). الفصل يبقى ويظهر بدون معلم. سجّل السلوك في الملاحظات.</t>
  </si>
  <si>
    <t xml:space="preserve">TCH-07</t>
  </si>
  <si>
    <t xml:space="preserve">تصدير قائمة المعلمين</t>
  </si>
  <si>
    <t xml:space="preserve">معلمون موجودون</t>
  </si>
  <si>
    <t xml:space="preserve">1. «تصدير البيانات»، اختر بعض الحقول.
2. صدّر بكل صيغة متاحة (PDF / Excel / Word) وافتح الملفات.</t>
  </si>
  <si>
    <t xml:space="preserve">الملفات تُفتح، والنص العربي صحيح (غير مقلوب أو مقطع)، والأعمدة المختارة فقط ظاهرة.</t>
  </si>
  <si>
    <t xml:space="preserve">TCH-08</t>
  </si>
  <si>
    <t xml:space="preserve">استيراد المعلمين من Excel</t>
  </si>
  <si>
    <t xml:space="preserve">1. «استيراد البيانات» ← «إنشاء قالب».
2. املأ 3 معلمين (واحد منهم بهاتف خاطئ).
3. «بدء معالج الاستيراد» واختر الملف.</t>
  </si>
  <si>
    <t xml:space="preserve">يُضاف المعلمان الصحيحان، ويظهر تقرير يذكر السطر الخاطئ وسبب الخطأ.</t>
  </si>
  <si>
    <t xml:space="preserve">STU-01</t>
  </si>
  <si>
    <t xml:space="preserve">إضافة طالب بالحقول الأساسية</t>
  </si>
  <si>
    <t xml:space="preserve">1. شؤون الطلاب ← «إضافة طالب».
2. الاسم الكامل، تاريخ الميلاد (طفل عمره 9 سنوات)، الجنس.
3. «إضافة الطالب».</t>
  </si>
  <si>
    <t xml:space="preserve">رسالة نجاح، والطالب في الجدول برقم تعريفي، وعمره محسوب بشكل صحيح.</t>
  </si>
  <si>
    <t xml:space="preserve">STU-02</t>
  </si>
  <si>
    <t xml:space="preserve">طالب عمره أقل من 4 سنوات</t>
  </si>
  <si>
    <t xml:space="preserve">1. أضف طالباً عمره سنتان.</t>
  </si>
  <si>
    <t xml:space="preserve">رسالة «عمر الطالب أقل من الحد الأدنى» ولا يُضاف.</t>
  </si>
  <si>
    <t xml:space="preserve">STU-03</t>
  </si>
  <si>
    <t xml:space="preserve">التحقق من حقول الطالب</t>
  </si>
  <si>
    <t xml:space="preserve">1. اسم من حرفين.
2. هاتف من 7 أرقام.
3. بريد إلكتروني غير صالح.
4. بدون تاريخ ميلاد.</t>
  </si>
  <si>
    <t xml:space="preserve">رسالة خطأ واضحة لكل حالة ولا يُضاف الطالب.</t>
  </si>
  <si>
    <t xml:space="preserve">STU-04</t>
  </si>
  <si>
    <t xml:space="preserve">طالب طفل ببيانات ولي الأمر</t>
  </si>
  <si>
    <t xml:space="preserve">1. أضف طفلاً (10 سنوات) واملأ «معلومات ولي الأمر» و«الطوارئ والصحة» و«المعلومات الدراسية».
2. احفظ ثم «عرض التفاصيل».</t>
  </si>
  <si>
    <t xml:space="preserve">كل المعلومات محفوظة وظاهرة في التفاصيل.</t>
  </si>
  <si>
    <t xml:space="preserve">STU-05</t>
  </si>
  <si>
    <t xml:space="preserve">طالب راشد بالحالة المدنية</t>
  </si>
  <si>
    <t xml:space="preserve">1. أضف طالباً عمره 30 سنة، واملأ المهنة والحالة المدنية وأفراد العائلة.
2. احفظ ثم اعرض التفاصيل.</t>
  </si>
  <si>
    <t xml:space="preserve">الحقول الخاصة بالراشدين تظهر وتُحفظ بشكل صحيح.</t>
  </si>
  <si>
    <t xml:space="preserve">STU-06</t>
  </si>
  <si>
    <t xml:space="preserve">الحفظ القرآني</t>
  </si>
  <si>
    <t xml:space="preserve">1. في نموذج الطالب اختر «السور المحفوظة» و«الأحزاب المحفوظة».
2. احفظ ثم اعرض التفاصيل.</t>
  </si>
  <si>
    <t xml:space="preserve">القوائم تحتوي كل السور والأحزاب، والاختيارات محفوظة وظاهرة في التفاصيل.</t>
  </si>
  <si>
    <t xml:space="preserve">STU-07</t>
  </si>
  <si>
    <t xml:space="preserve">اختيار الفصل من نموذج الطالب</t>
  </si>
  <si>
    <t xml:space="preserve">فصول لأعمار مختلفة</t>
  </si>
  <si>
    <t xml:space="preserve">1. في نموذج طالب جديد أدخل تاريخ الميلاد والجنس.
2. افتح «الفصول الدراسية».</t>
  </si>
  <si>
    <t xml:space="preserve">تظهر فقط الفصول المناسبة لعمر الطالب وجنسه. قبل إدخال العمر والجنس تظهر رسالة تطلب تحديدهما.</t>
  </si>
  <si>
    <t xml:space="preserve">STU-08</t>
  </si>
  <si>
    <t xml:space="preserve">فئات الرسوم: معفى ومكفول وخصم</t>
  </si>
  <si>
    <t xml:space="preserve">1. أضف طالباً «معفى من الرسوم».
2. أضف طالباً «مكفول» واملأ اسم الكافل وهاتفه.
3. أضف طالباً «يستطيع الدفع» بنسبة خصم 30% وسبب الخصم.</t>
  </si>
  <si>
    <t xml:space="preserve">تُحفظ الفئات والبيانات. (أثرها على الرسوم يُختبر في قسم FEE.)</t>
  </si>
  <si>
    <t xml:space="preserve">STU-09</t>
  </si>
  <si>
    <t xml:space="preserve">البحث عن طالب</t>
  </si>
  <si>
    <t xml:space="preserve">5 طلاب على الأقل</t>
  </si>
  <si>
    <t xml:space="preserve">1. ابحث بجزء من الاسم.
2. ابحث بالرقم التعريفي.
3. ابحث بنص لا يطابق أحداً.</t>
  </si>
  <si>
    <t xml:space="preserve">النتائج صحيحة، ورسالة «لا توجد نتائج تطابق معايير البحث» في الحالة الأخيرة.</t>
  </si>
  <si>
    <t xml:space="preserve">STU-10</t>
  </si>
  <si>
    <t xml:space="preserve">التصفية</t>
  </si>
  <si>
    <t xml:space="preserve">طلاب متنوعون</t>
  </si>
  <si>
    <t xml:space="preserve">1. صفِّ حسب الجنس، ثم الحالة، ثم فئة الرسوم.
2. صفِّ حسب العمر (من/إلى).
3. صفِّ حسب سورة أو حزب محفوظ.</t>
  </si>
  <si>
    <t xml:space="preserve">كل تصفية تعرض الطلاب المطابقين فقط، ويمكن الجمع بين أكثر من تصفية.</t>
  </si>
  <si>
    <t xml:space="preserve">STU-11</t>
  </si>
  <si>
    <t xml:space="preserve">تعديل طالب</t>
  </si>
  <si>
    <t xml:space="preserve">طالب موجود</t>
  </si>
  <si>
    <t xml:space="preserve">1. «تعديل الطالب»، غيّر الاسم والهاتف والفئة.
2. احفظ.</t>
  </si>
  <si>
    <t xml:space="preserve">رسالة «تم تحديث بيانات الطالب» والتعديلات ظاهرة.</t>
  </si>
  <si>
    <t xml:space="preserve">STU-12</t>
  </si>
  <si>
    <t xml:space="preserve">جعل الطالب «غير نشط»</t>
  </si>
  <si>
    <t xml:space="preserve">طالب مسجل في فصل وله رسوم</t>
  </si>
  <si>
    <t xml:space="preserve">1. عدّل الطالب واجعل حالته «غير نشط».
2. راجع الصفحة الرئيسية ورسوم الطلاب والحضور.</t>
  </si>
  <si>
    <t xml:space="preserve">ينقص عدد «الطلاب النشطون»، ولا يظهر في قائمة رسوم الطلاب ولا تُولد له رسوم جديدة.</t>
  </si>
  <si>
    <t xml:space="preserve">STU-13</t>
  </si>
  <si>
    <t xml:space="preserve">حذف طالب</t>
  </si>
  <si>
    <t xml:space="preserve">طالب تجريبي</t>
  </si>
  <si>
    <t xml:space="preserve">1. «حذف الطالب» وأكّد.</t>
  </si>
  <si>
    <t xml:space="preserve">رسالة نجاح ويختفي من الجدول ومن الفصول.</t>
  </si>
  <si>
    <t xml:space="preserve">STU-14</t>
  </si>
  <si>
    <t xml:space="preserve">صفحات الجدول</t>
  </si>
  <si>
    <t xml:space="preserve">أكثر من 10 طلاب (أو استيراد قائمة)</t>
  </si>
  <si>
    <t xml:space="preserve">1. تنقّل بين الصفحات بأزرار «التالي» و«السابق».
2. غيّر عدد الأسطر في الصفحة.</t>
  </si>
  <si>
    <t xml:space="preserve">التنقل يعمل والأرقام صحيحة.</t>
  </si>
  <si>
    <t xml:space="preserve">STU-15</t>
  </si>
  <si>
    <t xml:space="preserve">تصدير قائمة الطلاب</t>
  </si>
  <si>
    <t xml:space="preserve">طلاب موجودون</t>
  </si>
  <si>
    <t xml:space="preserve">1. «تصدير البيانات»، اختر حقولاً.
2. صدّر بكل صيغة متاحة وافتح الملفات.</t>
  </si>
  <si>
    <t xml:space="preserve">الملفات صحيحة والنص العربي سليم، والحقول المختارة فقط.</t>
  </si>
  <si>
    <t xml:space="preserve">STU-16</t>
  </si>
  <si>
    <t xml:space="preserve">استيراد الطلاب من Excel</t>
  </si>
  <si>
    <t xml:space="preserve">1. «استيراد البيانات» ← «إنشاء قالب».
2. املأ 10 طلاب (اثنان بأخطاء: عمر 2 سنة، اسم فارغ).
3. استورد الملف.</t>
  </si>
  <si>
    <t xml:space="preserve">يُضاف 8 طلاب، ويظهر تقرير بالسطرين الخاطئين وسبب الخطأ.</t>
  </si>
  <si>
    <t xml:space="preserve">CLS-01</t>
  </si>
  <si>
    <t xml:space="preserve">إنشاء فصل كامل</t>
  </si>
  <si>
    <t xml:space="preserve">1. الفصول الدراسية ← «إضافة فصل».
2. الاسم، المعلم، الحالة «نشط»، الفئة العمرية.
3. أضف موعدين (يومان مختلفان) بأوقات جاهزة مثل «بعد صلاة العصر».
4. تاريخ البدء والانتهاء والسعة. احفظ.</t>
  </si>
  <si>
    <t xml:space="preserve">الفصل في الجدول بالمعلم والجدول الزمني والحالة الصحيحة.</t>
  </si>
  <si>
    <t xml:space="preserve">CLS-02</t>
  </si>
  <si>
    <t xml:space="preserve">توقيت مخصص</t>
  </si>
  <si>
    <t xml:space="preserve">1. في فصل جديد اختر «توقيت مخصص» وحدد من/إلى (مثلاً 16:00 إلى 17:30).
2. احفظ واعرض التفاصيل.</t>
  </si>
  <si>
    <t xml:space="preserve">التوقيت محفوظ ويظهر في الجدول والتفاصيل.</t>
  </si>
  <si>
    <t xml:space="preserve">CLS-03</t>
  </si>
  <si>
    <t xml:space="preserve">حالات الفصل</t>
  </si>
  <si>
    <t xml:space="preserve">1. أنشئ فصلاً «قيد الانتظار» وآخر «منتهي».
2. افتح «الحضور والغياب».</t>
  </si>
  <si>
    <t xml:space="preserve">الحالات تظهر بالعربية. فقط الفصول «النشطة» تظهر في قائمة الحضور.</t>
  </si>
  <si>
    <t xml:space="preserve">CLS-04</t>
  </si>
  <si>
    <t xml:space="preserve">فصل بمعلوم شهري خاص</t>
  </si>
  <si>
    <t xml:space="preserve">1. أنشئ فصلاً وفعّل «معلوم شهري خاص» بمبلغ 15.
2. احفظ.</t>
  </si>
  <si>
    <t xml:space="preserve">الفصل محفوظ بالمعلوم الخاص. (أثره على الرسوم يُختبر في FEE-10.)</t>
  </si>
  <si>
    <t xml:space="preserve">CLS-05</t>
  </si>
  <si>
    <t xml:space="preserve">تسجيل طلاب في فصل</t>
  </si>
  <si>
    <t xml:space="preserve">فصل نشط وطلاب مناسبون</t>
  </si>
  <si>
    <t xml:space="preserve">1. اضغط زر «إدارة الطلاب» في سطر الفصل.
2. سجّل 3 طلاب من «الطلاب المتاحون».
3. «حفظ التغييرات».</t>
  </si>
  <si>
    <t xml:space="preserve">رسالة نجاح، والطلاب في «الطلاب المسجلون» عند إعادة الفتح.</t>
  </si>
  <si>
    <t xml:space="preserve">CLS-06</t>
  </si>
  <si>
    <t xml:space="preserve">تحذير عدم توافق السن أو الجنس</t>
  </si>
  <si>
    <t xml:space="preserve">فصل للذكور فقط وطالبة، أو فصل للأطفال وطالب راشد</t>
  </si>
  <si>
    <t xml:space="preserve">1. حاول تسجيل طالب لا يناسب فئة الفصل.</t>
  </si>
  <si>
    <t xml:space="preserve">يظهر «تحذير التحقق من الصحة» مع اسم الطالب والسبب، مع إمكانية «متابعة التسجيل على أي حال» أو الإلغاء.</t>
  </si>
  <si>
    <t xml:space="preserve">CLS-07</t>
  </si>
  <si>
    <t xml:space="preserve">إلغاء تسجيل طالب</t>
  </si>
  <si>
    <t xml:space="preserve">فصل فيه طلاب</t>
  </si>
  <si>
    <t xml:space="preserve">1. في «إدارة الطلاب» ألغِ تسجيل طالب واحفظ.</t>
  </si>
  <si>
    <t xml:space="preserve">يعود الطالب إلى «الطلاب المتاحون» ولا يظهر في حضور الفصل.</t>
  </si>
  <si>
    <t xml:space="preserve">CLS-08</t>
  </si>
  <si>
    <t xml:space="preserve">تعديل فصل</t>
  </si>
  <si>
    <t xml:space="preserve">فصل موجود</t>
  </si>
  <si>
    <t xml:space="preserve">1. «تعديل الفصل»: غيّر الاسم والمعلم وأضف موعداً واحذف آخر.
2. احفظ.</t>
  </si>
  <si>
    <t xml:space="preserve">التعديلات محفوظة وظاهرة في الجدول والتفاصيل.</t>
  </si>
  <si>
    <t xml:space="preserve">CLS-09</t>
  </si>
  <si>
    <t xml:space="preserve">فصول اليوم في الصفحة الرئيسية</t>
  </si>
  <si>
    <t xml:space="preserve">فصل نشط له موعد اليوم</t>
  </si>
  <si>
    <t xml:space="preserve">1. أنشئ فصلاً له موعد في يوم اليوم.
2. افتح الصفحة الرئيسية.</t>
  </si>
  <si>
    <t xml:space="preserve">يظهر الفصل في «فصول اليوم» مع المعلم والتوقيت.</t>
  </si>
  <si>
    <t xml:space="preserve">CLS-10</t>
  </si>
  <si>
    <t xml:space="preserve">البحث في الفصول</t>
  </si>
  <si>
    <t xml:space="preserve">3 فصول على الأقل</t>
  </si>
  <si>
    <t xml:space="preserve">1. ابحث بجزء من اسم فصل.</t>
  </si>
  <si>
    <t xml:space="preserve">النتائج مطابقة، ورسالة عند عدم التطابق.</t>
  </si>
  <si>
    <t xml:space="preserve">CLS-11</t>
  </si>
  <si>
    <t xml:space="preserve">حذف فصل فيه طلاب</t>
  </si>
  <si>
    <t xml:space="preserve">فصل فيه طلاب وحضور</t>
  </si>
  <si>
    <t xml:space="preserve">1. احذف الفصل وأكّد.
2. راجع الطلاب والحضور.</t>
  </si>
  <si>
    <t xml:space="preserve">يُحذف الفصل، ويبقى الطلاب في شؤون الطلاب.</t>
  </si>
  <si>
    <t xml:space="preserve">CLS-12</t>
  </si>
  <si>
    <t xml:space="preserve">تصدير واستيراد الفصول</t>
  </si>
  <si>
    <t xml:space="preserve">1. صدّر قائمة الفصول وافتح الملف.
2. استورد فصلين من القالب.</t>
  </si>
  <si>
    <t xml:space="preserve">الملف صحيح؛ الفصلان يظهران بعد الاستيراد.</t>
  </si>
  <si>
    <t xml:space="preserve">ATT-01</t>
  </si>
  <si>
    <t xml:space="preserve">تسجيل حضور اليوم</t>
  </si>
  <si>
    <t xml:space="preserve">فصل نشط فيه 3 طلاب</t>
  </si>
  <si>
    <t xml:space="preserve">1. الحضور والغياب ← اختر الفصل (التاريخ هو اليوم).
2. حدد: طالب حاضر، طالب غائب، طالب متأخر.
3. «حفظ التغييرات».</t>
  </si>
  <si>
    <t xml:space="preserve">رسالة «تم حفظ سجل الحضور بنجاح»، والسجل يصبح مغلقاً للتعديل، ويظهر في «سجلات الحضور المحفوظة».</t>
  </si>
  <si>
    <t xml:space="preserve">ATT-02</t>
  </si>
  <si>
    <t xml:space="preserve">الحفظ بدون تحديد الحضور</t>
  </si>
  <si>
    <t xml:space="preserve">1. اختر فصلاً ولا تحدد أي حالة.
2. «حفظ التغييرات».</t>
  </si>
  <si>
    <t xml:space="preserve">رسالة تطلب تحديد حالة الحضور، ولا يُحفظ شيء.</t>
  </si>
  <si>
    <t xml:space="preserve">ATT-03</t>
  </si>
  <si>
    <t xml:space="preserve">تعديل سجل محفوظ</t>
  </si>
  <si>
    <t xml:space="preserve">سجل محفوظ</t>
  </si>
  <si>
    <t xml:space="preserve">1. افتح السجل المحفوظ واضغط «تعديل».
2. غيّر حالة طالب واحفظ.
3. جرّب «إلغاء» أثناء التعديل.</t>
  </si>
  <si>
    <t xml:space="preserve">التعديل يُحفظ؛ «إلغاء» يعيد القيم السابقة.</t>
  </si>
  <si>
    <t xml:space="preserve">ATT-04</t>
  </si>
  <si>
    <t xml:space="preserve">حضور يوم سابق</t>
  </si>
  <si>
    <t xml:space="preserve">1. غيّر التاريخ إلى أمس وسجّل الحضور.
2. ارجع إلى تاريخ اليوم.</t>
  </si>
  <si>
    <t xml:space="preserve">لكل تاريخ سجله الخاص، والسجلان يظهران في القائمة.</t>
  </si>
  <si>
    <t xml:space="preserve">ATT-05</t>
  </si>
  <si>
    <t xml:space="preserve">تاريخ في المستقبل</t>
  </si>
  <si>
    <t xml:space="preserve">1. اختر تاريخاً بعد أسبوع وحاول تسجيل الحضور.</t>
  </si>
  <si>
    <t xml:space="preserve">يمنع البرنامج ذلك أو يعرض تنبيهاً. سجّل السلوك في الملاحظات.</t>
  </si>
  <si>
    <t xml:space="preserve">ATT-06</t>
  </si>
  <si>
    <t xml:space="preserve">الحضور بعد التنقل وإعادة الفتح</t>
  </si>
  <si>
    <t xml:space="preserve">1. انتقل إلى صفحة أخرى ثم ارجع.
2. أغلق البرنامج وافتحه.</t>
  </si>
  <si>
    <t xml:space="preserve">الحالات المحفوظة تظهر كما هي.</t>
  </si>
  <si>
    <t xml:space="preserve">ATT-07</t>
  </si>
  <si>
    <t xml:space="preserve">الحضور بحساب «مشرف حصص»</t>
  </si>
  <si>
    <t xml:space="preserve">مستخدم مشرف حصص (من قسم USR)</t>
  </si>
  <si>
    <t xml:space="preserve">1. ادخل بحساب مشرف الحصص وسجّل حضور فصل.</t>
  </si>
  <si>
    <t xml:space="preserve">يستطيع تسجيل الحضور وتعديله.</t>
  </si>
  <si>
    <t xml:space="preserve">ATT-08</t>
  </si>
  <si>
    <t xml:space="preserve">تصدير سجل الحضور</t>
  </si>
  <si>
    <t xml:space="preserve">سجلات محفوظة</t>
  </si>
  <si>
    <t xml:space="preserve">1. «تصدير البيانات» في الحضور، اختر فصلاً وفترة.
2. صدّر وافتح الملف.</t>
  </si>
  <si>
    <t xml:space="preserve">الملف يحتوي سجلات الفصل والفترة المختارة فقط، بأسماء صحيحة.</t>
  </si>
  <si>
    <t xml:space="preserve">ATT-09</t>
  </si>
  <si>
    <t xml:space="preserve">استيراد سجل حضور</t>
  </si>
  <si>
    <t xml:space="preserve">1. «استيراد البيانات» ← إنشاء قالب، املأ سجلين، واستورد.</t>
  </si>
  <si>
    <t xml:space="preserve">السجلات تظهر بعد الاستيراد.</t>
  </si>
  <si>
    <t xml:space="preserve">FEE-01</t>
  </si>
  <si>
    <t xml:space="preserve">توليد الرسوم</t>
  </si>
  <si>
    <t xml:space="preserve">رسوم مضبوطة (سنوي 30، شهري 20) وطلاب «يستطيع الدفع» في فصول نشطة</t>
  </si>
  <si>
    <t xml:space="preserve">1. الشؤون المالية ← «رسوم الطلاب».
2. «توليد الرسوم» ← «توليد الرسوم».</t>
  </si>
  <si>
    <t xml:space="preserve">رسالة نجاح. كل طالب عليه 50 د.ت (30 سنوي + 20 للشهر الحالي) بحالة «غير مدفوع». بطاقات الإحصائيات صحيحة.</t>
  </si>
  <si>
    <t xml:space="preserve">دفعة جزئية</t>
  </si>
  <si>
    <t xml:space="preserve">طالب عليه 50 د.ت</t>
  </si>
  <si>
    <t xml:space="preserve">1. «تسجيل دفعة» للطالب.
2. المبلغ 20، رقم وصل جديد، طريقة «نقدي».
3. «تسجيل الدفعة».</t>
  </si>
  <si>
    <t xml:space="preserve">المدفوع 20، المتبقي 30، الحالة «جزئياً مدفوع».</t>
  </si>
  <si>
    <t xml:space="preserve">FEE-03</t>
  </si>
  <si>
    <t xml:space="preserve">إكمال الدفع</t>
  </si>
  <si>
    <t xml:space="preserve">الطالب نفسه</t>
  </si>
  <si>
    <t xml:space="preserve">1. سجّل دفعة بالمتبقي (30).</t>
  </si>
  <si>
    <t xml:space="preserve">المتبقي 0 والحالة «مدفوع».</t>
  </si>
  <si>
    <t xml:space="preserve">FEE-04</t>
  </si>
  <si>
    <t xml:space="preserve">دفعة أكبر من المستحق (رصيد)</t>
  </si>
  <si>
    <t xml:space="preserve">1. سجّل دفعة بـ 80.
2. افتح «عرض التفاصيل».</t>
  </si>
  <si>
    <t xml:space="preserve">الحالة «مدفوع» ويظهر «رصيد متاح» 30 د.ت يُطبق تلقائياً على الرسوم القادمة.</t>
  </si>
  <si>
    <t xml:space="preserve">FEE-05</t>
  </si>
  <si>
    <t xml:space="preserve">رقم وصل مكرر</t>
  </si>
  <si>
    <t xml:space="preserve">دفعة سابقة برقم معروف</t>
  </si>
  <si>
    <t xml:space="preserve">1. سجّل دفعة جديدة بنفس رقم الوصل.</t>
  </si>
  <si>
    <t xml:space="preserve">رسالة خطأ «رقم الوصل موجود بالفعل» ولا تُسجل الدفعة.</t>
  </si>
  <si>
    <t xml:space="preserve">FEE-06</t>
  </si>
  <si>
    <t xml:space="preserve">الدفع بشيك</t>
  </si>
  <si>
    <t xml:space="preserve">1. سجّل دفعة بطريقة «شيك» بدون رقم الشيك، ثم برقم الشيك.</t>
  </si>
  <si>
    <t xml:space="preserve">يظهر حقل رقم الشيك عند اختيار «شيك». تُسجل الدفعة ويظهر رقم الشيك في السجل. سجّل هل قبل البرنامج الدفع بشيك بدون رقم.</t>
  </si>
  <si>
    <t xml:space="preserve">FEE-07</t>
  </si>
  <si>
    <t xml:space="preserve">طباعة وصل الدفعة</t>
  </si>
  <si>
    <t xml:space="preserve">دفعة مسجلة</t>
  </si>
  <si>
    <t xml:space="preserve">1. في «سجل الدفعات السابقة» اضغط «طباعة الوصل».
2. راجع المعاينة ثم اطبع (أو اطبع إلى PDF).</t>
  </si>
  <si>
    <t xml:space="preserve">الوصل يحتوي اسم الطالب والمبلغ والتاريخ ورقم الوصل وطريقة الدفع بالعربية، والطباعة سليمة.</t>
  </si>
  <si>
    <t xml:space="preserve">FEE-08</t>
  </si>
  <si>
    <t xml:space="preserve">حذف دفعة</t>
  </si>
  <si>
    <t xml:space="preserve">1. «حذف الدفعة» وأكّد.</t>
  </si>
  <si>
    <t xml:space="preserve">رسالة نجاح، والمتبقي يعود كما كان، والدفعة تختفي من المداخيل.</t>
  </si>
  <si>
    <t xml:space="preserve">FEE-09</t>
  </si>
  <si>
    <t xml:space="preserve">استرجاع دفعة</t>
  </si>
  <si>
    <t xml:space="preserve">1. «استرجاع الدفعة» وأكّد.
2. حاول استرجاعها أو حذفها مرة ثانية.
3. راجع لوحة التحكم المالية.</t>
  </si>
  <si>
    <t xml:space="preserve">الدفعة تظهر «مسترجع» والأزرار معطلة. المتبقي يعود. يظهر مصروف «استرجاع رسوم» في المصاريف.</t>
  </si>
  <si>
    <t xml:space="preserve">FEE-10</t>
  </si>
  <si>
    <t xml:space="preserve">فصل بمعلوم خاص 15 (CLS-04)</t>
  </si>
  <si>
    <t xml:space="preserve">1. سجّل طالباً في فصل عادي وفي الفصل الخاص.
2. افتح «عرض التفاصيل» لرسومه.</t>
  </si>
  <si>
    <t xml:space="preserve">رسوم الشهر = الرسوم الشهرية + 15.</t>
  </si>
  <si>
    <t xml:space="preserve">FEE-11</t>
  </si>
  <si>
    <t xml:space="preserve">طالب معفى</t>
  </si>
  <si>
    <t xml:space="preserve">طالب «معفى من الرسوم» في فصل</t>
  </si>
  <si>
    <t xml:space="preserve">1. ولّد الرسوم وراجع سطره.</t>
  </si>
  <si>
    <t xml:space="preserve">حالته «معفى» ولا رسوم عليه، وزر الدفع معطل.</t>
  </si>
  <si>
    <t xml:space="preserve">FEE-12</t>
  </si>
  <si>
    <t xml:space="preserve">طالب مكفول</t>
  </si>
  <si>
    <t xml:space="preserve">طالب «مكفول»</t>
  </si>
  <si>
    <t xml:space="preserve">1. افتح «تسجيل دفعة» له.</t>
  </si>
  <si>
    <t xml:space="preserve">يظهر «طالب مكفول» مع اسم الكافل وهاتفه.</t>
  </si>
  <si>
    <t xml:space="preserve">FEE-13</t>
  </si>
  <si>
    <t xml:space="preserve">الخصم</t>
  </si>
  <si>
    <t xml:space="preserve">طالب بخصم 30% ورسوم شهرية 20</t>
  </si>
  <si>
    <t xml:space="preserve">1. راجع رسوم الشهر في تفاصيله.</t>
  </si>
  <si>
    <t xml:space="preserve">رسوم الشهر 14 (20 ناقص 30%).</t>
  </si>
  <si>
    <t xml:space="preserve">FEE-14</t>
  </si>
  <si>
    <t xml:space="preserve">فئة عمرية بالدفع السنوي</t>
  </si>
  <si>
    <t xml:space="preserve">فئة «سنوي» (SET-08) وفصل منها وطالب مسجل فيه</t>
  </si>
  <si>
    <t xml:space="preserve">1. ولّد الرسوم.
2. افتح تفاصيل الطالب.</t>
  </si>
  <si>
    <t xml:space="preserve">عليه الرسم السنوي للفئة فقط (مثلاً 60) بدون رسوم شهرية.</t>
  </si>
  <si>
    <t xml:space="preserve">FEE-15</t>
  </si>
  <si>
    <t xml:space="preserve">طالب في فئتين برسوم مختلفة</t>
  </si>
  <si>
    <t xml:space="preserve">فئتان برسوم شهرية مختلفة، وطالب مسجل في فصلين منهما</t>
  </si>
  <si>
    <t xml:space="preserve">1. في رسوم الطلاب صفِّ «بحاجة لاختيار فئة الرسوم».
2. افتح تفاصيل الطالب واختر فئة الرسوم ثم «حفظ فئة الرسوم».</t>
  </si>
  <si>
    <t xml:space="preserve">الطالب يظهر في التصفية ويُطبق عليه الأعلى حتى الاختيار؛ بعد الاختيار تتحدث الرسوم غير المدفوعة ويختفي التنبيه.</t>
  </si>
  <si>
    <t xml:space="preserve">FEE-16</t>
  </si>
  <si>
    <t xml:space="preserve">البحث والتصفية في الرسوم</t>
  </si>
  <si>
    <t xml:space="preserve">طلاب بحالات مختلفة</t>
  </si>
  <si>
    <t xml:space="preserve">1. ابحث بالاسم.
2. صفِّ: مدفوع، جزئياً، غير مدفوع، معفى.</t>
  </si>
  <si>
    <t xml:space="preserve">كل تصفية تعرض الطلاب المطابقين فقط.</t>
  </si>
  <si>
    <t xml:space="preserve">FEE-17</t>
  </si>
  <si>
    <t xml:space="preserve">الدفعة تظهر في المداخيل</t>
  </si>
  <si>
    <t xml:space="preserve">1. راجع «لوحة التحكم» المالية للشهر الحالي.
2. راجع مخطط الرسوم في الصفحة الرئيسية.</t>
  </si>
  <si>
    <t xml:space="preserve">المبلغ محسوب في «إجمالي المداخيل» تحت «رسوم الطلاب» وفي مخطط الأشهر.</t>
  </si>
  <si>
    <t xml:space="preserve">FEE-18</t>
  </si>
  <si>
    <t xml:space="preserve">تغيير الرسوم بعد التوليد</t>
  </si>
  <si>
    <t xml:space="preserve">رسوم مولدة ومدفوعة لبعض الطلاب</t>
  </si>
  <si>
    <t xml:space="preserve">1. غيّر الرسوم الشهرية في الإعدادات.
2. راجع رسوم الطلاب.</t>
  </si>
  <si>
    <t xml:space="preserve">الرسوم المولدة سابقاً لا تتغير، والمدفوعة لا تتأثر.</t>
  </si>
  <si>
    <t xml:space="preserve">FEE-19</t>
  </si>
  <si>
    <t xml:space="preserve">إعادة ضبط الرسوم</t>
  </si>
  <si>
    <t xml:space="preserve">رسوم غير مدفوعة ومدفوعة</t>
  </si>
  <si>
    <t xml:space="preserve">1. «إعادة ضبط الرسوم» واقرأ التحذير ثم أكّد.</t>
  </si>
  <si>
    <t xml:space="preserve">تُحذف الرسوم غير المدفوعة فقط وتُعاد بشكل نظيف؛ الرسوم المدفوعة تبقى.</t>
  </si>
  <si>
    <t xml:space="preserve">FEE-20</t>
  </si>
  <si>
    <t xml:space="preserve">تصدير واستيراد رسوم الطلاب</t>
  </si>
  <si>
    <t xml:space="preserve">دفعات مسجلة</t>
  </si>
  <si>
    <t xml:space="preserve">1. صدّر رسوم الطلاب وافتح الملف.
2. استورد دفعتين من القالب.</t>
  </si>
  <si>
    <t xml:space="preserve">الملف صحيح؛ الدفعتان تظهران في سجل الطلاب المعنيين.</t>
  </si>
  <si>
    <t xml:space="preserve">FEE-21</t>
  </si>
  <si>
    <t xml:space="preserve">الدفع بحساب «مسؤول مالي»</t>
  </si>
  <si>
    <t xml:space="preserve">مستخدم مسؤول مالي</t>
  </si>
  <si>
    <t xml:space="preserve">1. ادخل بحسابه وسجّل دفعة.</t>
  </si>
  <si>
    <t xml:space="preserve">يستطيع تسجيل الدفعة وطباعة الوصل.</t>
  </si>
  <si>
    <t xml:space="preserve">FIN-01</t>
  </si>
  <si>
    <t xml:space="preserve">إضافة مدخول (تبرع)</t>
  </si>
  <si>
    <t xml:space="preserve">تم الدخول كمدير أو مسؤول مالي</t>
  </si>
  <si>
    <t xml:space="preserve">1. الشؤون المالية ← «المداخيل» ← «إضافة مدخول».
2. التاريخ، رقم الوصل، نوع المدخول «تبرع»، المبلغ 100، اسم المتبرع.
3. «حفظ».</t>
  </si>
  <si>
    <t xml:space="preserve">رسالة نجاح، ويظهر «وصل استلام» جاهز للطباعة، والعملية في الجدول.</t>
  </si>
  <si>
    <t xml:space="preserve">FIN-02</t>
  </si>
  <si>
    <t xml:space="preserve">أنواع المداخيل</t>
  </si>
  <si>
    <t xml:space="preserve">1. أضف مدخول «انخراط» وآخر «نشاط».</t>
  </si>
  <si>
    <t xml:space="preserve">تظهر بأنواعها الصحيحة في الجدول ولوحة التحكم.</t>
  </si>
  <si>
    <t xml:space="preserve">FIN-03</t>
  </si>
  <si>
    <t xml:space="preserve">قاعدة 500 دينار نقداً</t>
  </si>
  <si>
    <t xml:space="preserve">1. أضف مدخولاً بـ 600 بطريقة «نقدا».
2. غيّر الطريقة إلى «شيك» مع رقم الشيك.</t>
  </si>
  <si>
    <t xml:space="preserve">يظهر تنبيه «المبالغ التي تتجاوز 500 دينار يجب أن تكون عبر شيك أو تحويل بنكي». سجّل هل سمح البرنامج بالحفظ نقداً. مع الشيك يُحفظ.</t>
  </si>
  <si>
    <t xml:space="preserve">FIN-04</t>
  </si>
  <si>
    <t xml:space="preserve">إضافة مصروف</t>
  </si>
  <si>
    <t xml:space="preserve">1. «المصاريف» ← «إضافة مصروف».
2. الفئة، رقم الوصل، المبلغ، المستفيد.
3. «حفظ».</t>
  </si>
  <si>
    <t xml:space="preserve">رسالة نجاح و«إذن بالدفع» جاهز للطباعة.</t>
  </si>
  <si>
    <t xml:space="preserve">FIN-05</t>
  </si>
  <si>
    <t xml:space="preserve">عملية برقم معروف</t>
  </si>
  <si>
    <t xml:space="preserve">1. أضف عملية جديدة بنفس رقم الوصل.</t>
  </si>
  <si>
    <t xml:space="preserve">رسالة «رقم الوصل موجود مسبقاً».</t>
  </si>
  <si>
    <t xml:space="preserve">FIN-06</t>
  </si>
  <si>
    <t xml:space="preserve">طباعة الوصل</t>
  </si>
  <si>
    <t xml:space="preserve">عملية مسجلة</t>
  </si>
  <si>
    <t xml:space="preserve">1. اضغط «طباعة» في سطر العملية.
2. اطبع (أو اطبع إلى PDF).</t>
  </si>
  <si>
    <t xml:space="preserve">الوصل صحيح: الرقم، التاريخ، المبلغ، الطرف، البيان، مكان التوقيع والختم.</t>
  </si>
  <si>
    <t xml:space="preserve">FIN-07</t>
  </si>
  <si>
    <t xml:space="preserve">تعديل عملية</t>
  </si>
  <si>
    <t xml:space="preserve">1. «تعديل»: غيّر المبلغ ورقم الوصل واحفظ.</t>
  </si>
  <si>
    <t xml:space="preserve">التعديل محفوظ، ولوحة التحكم تعكس المبلغ الجديد.</t>
  </si>
  <si>
    <t xml:space="preserve">FIN-08</t>
  </si>
  <si>
    <t xml:space="preserve">حذف عملية</t>
  </si>
  <si>
    <t xml:space="preserve">1. «حذف» وأكّد.</t>
  </si>
  <si>
    <t xml:space="preserve">تختفي العملية وتتحدث المجاميع.</t>
  </si>
  <si>
    <t xml:space="preserve">FIN-09</t>
  </si>
  <si>
    <t xml:space="preserve">عمليات متنوعة</t>
  </si>
  <si>
    <t xml:space="preserve">1. ابحث بنص.
2. صفِّ حسب الفئة.
3. صفِّ بتاريخ من/إلى.</t>
  </si>
  <si>
    <t xml:space="preserve">النتائج صحيحة.</t>
  </si>
  <si>
    <t xml:space="preserve">FIN-10</t>
  </si>
  <si>
    <t xml:space="preserve">إدارة الفئات</t>
  </si>
  <si>
    <t xml:space="preserve">1. «إدارة الفئات» ← «إضافة فئة» (مثلاً: صيانة).
2. عدّلها ثم استعملها في مصروف.
3. حاول حذفها ثم احذف فئة غير مستعملة.</t>
  </si>
  <si>
    <t xml:space="preserve">الفئة المخصصة تُضاف وتُعدل وتظهر في النماذج. الفئات الافتراضية محمية. سجّل ما يحدث عند حذف فئة مستعملة.</t>
  </si>
  <si>
    <t xml:space="preserve">FIN-11</t>
  </si>
  <si>
    <t xml:space="preserve">لوحة التحكم المالية</t>
  </si>
  <si>
    <t xml:space="preserve">مداخيل ومصاريف هذا الشهر</t>
  </si>
  <si>
    <t xml:space="preserve">1. «لوحة التحكم»: راجع إجمالي المداخيل والمصاريف والرصيد.
2. غيّر الفترة: الشهر، الربع، السنة، السنة الدراسية، فترة مخصصة.</t>
  </si>
  <si>
    <t xml:space="preserve">الأرقام = مجموع العمليات في الفترة، والمخططات تتحدث مع كل فترة.</t>
  </si>
  <si>
    <t xml:space="preserve">FIN-12</t>
  </si>
  <si>
    <t xml:space="preserve">عملية بتاريخ سابق</t>
  </si>
  <si>
    <t xml:space="preserve">1. أضف مصروفاً بتاريخ الشهر الماضي.
2. راجع لوحة التحكم للشهر الحالي ثم للسنة.</t>
  </si>
  <si>
    <t xml:space="preserve">لا يُحسب في الشهر الحالي، ويُحسب في السنة.</t>
  </si>
  <si>
    <t xml:space="preserve">INV-01</t>
  </si>
  <si>
    <t xml:space="preserve">إضافة صنف</t>
  </si>
  <si>
    <t xml:space="preserve">1. الشؤون المالية ← «الجرد» ← «إضافة صنف جديد».
2. الاسم، الفئة، الحالة، الكمية 5، قيمة الوحدة 20، مصدر الاقتناء «شراء». احفظ.</t>
  </si>
  <si>
    <t xml:space="preserve">يظهر الصنف بقيمة إجمالية 100.</t>
  </si>
  <si>
    <t xml:space="preserve">INV-02</t>
  </si>
  <si>
    <t xml:space="preserve">تبرع عيني</t>
  </si>
  <si>
    <t xml:space="preserve">1. «إضافة تبرع عيني»: الصنف، الكمية، القيمة التقديرية، اسم المتبرع (بدون رقم وصل).
2. احفظ.</t>
  </si>
  <si>
    <t xml:space="preserve">يُحفظ بدون رقم وصل، ويظهر في الجرد بمصدر «تبرع» وفي المداخيل كتبرع عيني.</t>
  </si>
  <si>
    <t xml:space="preserve">INV-03</t>
  </si>
  <si>
    <t xml:space="preserve">تعديل صنف</t>
  </si>
  <si>
    <t xml:space="preserve">صنف موجود</t>
  </si>
  <si>
    <t xml:space="preserve">1. غيّر الكمية إلى 8.</t>
  </si>
  <si>
    <t xml:space="preserve">القيمة الإجمالية تتحدث (8 × قيمة الوحدة).</t>
  </si>
  <si>
    <t xml:space="preserve">INV-04</t>
  </si>
  <si>
    <t xml:space="preserve">قيم غير صالحة</t>
  </si>
  <si>
    <t xml:space="preserve">1. كمية سالبة أو صفر.
2. قيمة بحروف.</t>
  </si>
  <si>
    <t xml:space="preserve">رسالة خطأ ولا يُحفظ الصنف.</t>
  </si>
  <si>
    <t xml:space="preserve">INV-05</t>
  </si>
  <si>
    <t xml:space="preserve">حذف صنف</t>
  </si>
  <si>
    <t xml:space="preserve">يختفي الصنف.</t>
  </si>
  <si>
    <t xml:space="preserve">INV-06</t>
  </si>
  <si>
    <t xml:space="preserve">تصدير واستيراد الجرد</t>
  </si>
  <si>
    <t xml:space="preserve">أصناف موجودة</t>
  </si>
  <si>
    <t xml:space="preserve">1. صدّر بيانات الجرد وافتح الملف.
2. استورد صنفين من القالب.</t>
  </si>
  <si>
    <t xml:space="preserve">الملف صحيح؛ الصنفان يظهران.</t>
  </si>
  <si>
    <t xml:space="preserve">REP-01</t>
  </si>
  <si>
    <t xml:space="preserve">التقرير المالي الشهري (Word)</t>
  </si>
  <si>
    <t xml:space="preserve">1. «التقارير المالية» ← التقرير المالي ← «شهر معين» ← الشهر الحالي.
2. صدّر وافتح الملف في Word.</t>
  </si>
  <si>
    <t xml:space="preserve">الملف يُفتح، العربية سليمة، بيانات الجمعية (والشعار إن كان مرفوعاً) ظاهرة، والمجاميع = لوحة التحكم لنفس الشهر.</t>
  </si>
  <si>
    <t xml:space="preserve">REP-02</t>
  </si>
  <si>
    <t xml:space="preserve">التقرير المالي السنوي وفترة مخصصة</t>
  </si>
  <si>
    <t xml:space="preserve">1. صدّر التقرير لـ «سنة معينة» ثم لـ «فترة مخصصة».
2. جرّب فترة تاريخ نهايتها قبل بدايتها.</t>
  </si>
  <si>
    <t xml:space="preserve">التقريران صحيحان؛ الفترة غير الصالحة ترفض برسالة.</t>
  </si>
  <si>
    <t xml:space="preserve">REP-03</t>
  </si>
  <si>
    <t xml:space="preserve">سجل المحاسبة (Excel)</t>
  </si>
  <si>
    <t xml:space="preserve">عمليات هذا الشهر</t>
  </si>
  <si>
    <t xml:space="preserve">1. صدّر «سجل المحاسبة» للشهر وافتحه.</t>
  </si>
  <si>
    <t xml:space="preserve">يحتوي الرصيد الافتتاحي، كل العمليات، والرصيد النهائي الصحيح.</t>
  </si>
  <si>
    <t xml:space="preserve">REP-04</t>
  </si>
  <si>
    <t xml:space="preserve">سجل الجرد</t>
  </si>
  <si>
    <t xml:space="preserve">أصناف في الجرد</t>
  </si>
  <si>
    <t xml:space="preserve">1. صدّر «سجل الجرد» وافتحه.</t>
  </si>
  <si>
    <t xml:space="preserve">الأصناف مجمعة حسب الفئة بقيم صحيحة.</t>
  </si>
  <si>
    <t xml:space="preserve">REP-05</t>
  </si>
  <si>
    <t xml:space="preserve">إلغاء التصدير</t>
  </si>
  <si>
    <t xml:space="preserve">1. ابدأ أي تصدير ثم أغلق نافذة الحفظ بدون اختيار مكان.</t>
  </si>
  <si>
    <t xml:space="preserve">رسالة «تم إلغاء التصدير» بدون خطأ.</t>
  </si>
  <si>
    <t xml:space="preserve">REP-06</t>
  </si>
  <si>
    <t xml:space="preserve">تصدير PDF بعدد كبير من الأعمدة</t>
  </si>
  <si>
    <t xml:space="preserve">1. صدّر قائمة الطلاب PDF مع اختيار كل الحقول.</t>
  </si>
  <si>
    <t xml:space="preserve">التقرير أفقي ويمكن قراءته؛ العربية سليمة.</t>
  </si>
  <si>
    <t xml:space="preserve">BAK-01</t>
  </si>
  <si>
    <t xml:space="preserve">تنبيه غياب رمز النقل</t>
  </si>
  <si>
    <t xml:space="preserve">لا يوجد رمز نقل</t>
  </si>
  <si>
    <t xml:space="preserve">1. الإعدادات ← «النسخ الاحتياطي».</t>
  </si>
  <si>
    <t xml:space="preserve">يظهر تنبيه بأن النسخ ستُشفَّر بمفتاح هذا الجهاز فقط.</t>
  </si>
  <si>
    <t xml:space="preserve">BAK-02</t>
  </si>
  <si>
    <t xml:space="preserve">نسخة احتياطية يدوية</t>
  </si>
  <si>
    <t xml:space="preserve">1. أدخل «رمز النقل» واضغط «حفظ جميع التغييرات».
2. «اختيار...» واختر مجلداً (مثلاً مفتاح USB).
3. «نسخ احتياطي الآن».</t>
  </si>
  <si>
    <t xml:space="preserve">رسالة نجاح، ملف ‎.qdb في المجلد، و«آخر نسخة» تعرض التاريخ والحالة «ناجحة».</t>
  </si>
  <si>
    <t xml:space="preserve">BAK-03</t>
  </si>
  <si>
    <t xml:space="preserve">تذكير النسخ في الصفحة الرئيسية</t>
  </si>
  <si>
    <t xml:space="preserve">تثبيت جديد بدون نسخة</t>
  </si>
  <si>
    <t xml:space="preserve">1. افتح الصفحة الرئيسية قبل أي نسخة.
2. اصنع نسخة ثم ارجع للصفحة الرئيسية.</t>
  </si>
  <si>
    <t xml:space="preserve">قبل النسخ يظهر تنبيه مع زر للانتقال إلى صفحة النسخ؛ بعده يختفي.</t>
  </si>
  <si>
    <t xml:space="preserve">BAK-04</t>
  </si>
  <si>
    <t xml:space="preserve">النسخ التلقائي</t>
  </si>
  <si>
    <t xml:space="preserve">1. فعّل «تفعيل النسخ التلقائي»، اختر «يوميًا» وتوقيتاً بعد دقيقتين، احفظ.
2. اترك البرنامج مفتوحاً وانتظر.</t>
  </si>
  <si>
    <t xml:space="preserve">تُنشأ نسخة تلقائياً في المجلد في الوقت المحدد.</t>
  </si>
  <si>
    <t xml:space="preserve">BAK-05</t>
  </si>
  <si>
    <t xml:space="preserve">استعادة نسخة على نفس الجهاز</t>
  </si>
  <si>
    <t xml:space="preserve">نسخة احتياطية</t>
  </si>
  <si>
    <t xml:space="preserve">1. بعد النسخ أضف طالباً جديداً.
2. «استيراد قاعدة بيانات محلية» واختر النسخة.
3. أدخل كلمة مرورك للتأكيد.</t>
  </si>
  <si>
    <t xml:space="preserve">يُعاد تشغيل البرنامج، والبيانات كما كانت وقت النسخة (الطالب الجديد غير موجود).</t>
  </si>
  <si>
    <t xml:space="preserve">BAK-06</t>
  </si>
  <si>
    <t xml:space="preserve">كلمة مرور خاطئة عند الاستعادة</t>
  </si>
  <si>
    <t xml:space="preserve">1. ابدأ الاستعادة وأدخل كلمة مرور خاطئة.</t>
  </si>
  <si>
    <t xml:space="preserve">تُرفض العملية ولا تتغير البيانات.</t>
  </si>
  <si>
    <t xml:space="preserve">BAK-07</t>
  </si>
  <si>
    <t xml:space="preserve">النقل إلى جهاز آخر</t>
  </si>
  <si>
    <t xml:space="preserve">جهازان عليهما البرنامج ونفس رمز النقل</t>
  </si>
  <si>
    <t xml:space="preserve">1. انسخ ملف النسخة إلى الجهاز الثاني.
2. أدخل نفس رمز النقل في إعداداته.
3. استورد النسخة.</t>
  </si>
  <si>
    <t xml:space="preserve">البيانات تظهر كاملة في الجهاز الثاني.</t>
  </si>
  <si>
    <t xml:space="preserve">BAK-08</t>
  </si>
  <si>
    <t xml:space="preserve">رمز نقل مختلف</t>
  </si>
  <si>
    <t xml:space="preserve">جهازان</t>
  </si>
  <si>
    <t xml:space="preserve">1. استورد النسخة على جهاز برمز نقل مختلف.</t>
  </si>
  <si>
    <t xml:space="preserve">ترفض العملية برسالة واضحة ولا تتلف البيانات الموجودة.</t>
  </si>
  <si>
    <t xml:space="preserve">GEN-01</t>
  </si>
  <si>
    <t xml:space="preserve">القائمة الجانبية وحجم النافذة</t>
  </si>
  <si>
    <t xml:space="preserve">1. اضغط زر القائمة (☰) أعلى الصفحة لإخفائها وإظهارها.
2. صغّر النافذة ثم كبّرها إلى ملء الشاشة.</t>
  </si>
  <si>
    <t xml:space="preserve">الصفحات تبقى مقروءة بدون عناصر متداخلة أو مقطوعة.</t>
  </si>
  <si>
    <t xml:space="preserve">GEN-02</t>
  </si>
  <si>
    <t xml:space="preserve">الكتابة والعرض بالعربية</t>
  </si>
  <si>
    <t xml:space="preserve">1. أدخل أسماء فيها همزات وتشكيل وأرقام (مثلاً: عبد الله بن عمر الأوّل).
2. راجع الجداول والتقارير.</t>
  </si>
  <si>
    <t xml:space="preserve">النص يظهر صحيحاً في كل مكان (غير مقلوب ولا مقطع).</t>
  </si>
  <si>
    <t xml:space="preserve">GEN-03</t>
  </si>
  <si>
    <t xml:space="preserve">الرسائل والأخطاء</t>
  </si>
  <si>
    <t xml:space="preserve">1. أثناء الاختبار لاحظ كل رسالة نجاح أو خطأ.</t>
  </si>
  <si>
    <t xml:space="preserve">كل الرسائل بالعربية وواضحة ومفهومة لمستخدم غير تقني. سجّل أي رسالة غامضة أو بالإنجليزية.</t>
  </si>
  <si>
    <t xml:space="preserve">GEN-04</t>
  </si>
  <si>
    <t xml:space="preserve">سرعة البرنامج مع بيانات كثيرة</t>
  </si>
  <si>
    <t xml:space="preserve">استيراد 100 طالب على الأقل</t>
  </si>
  <si>
    <t xml:space="preserve">1. استورد قائمة كبيرة من الطلاب.
2. تنقل بين الصفحات، ابحث، ولّد الرسوم.</t>
  </si>
  <si>
    <t xml:space="preserve">البرنامج يبقى سريعاً (بضع ثوان على الأكثر).</t>
  </si>
  <si>
    <t xml:space="preserve">GEN-05</t>
  </si>
  <si>
    <t xml:space="preserve">استعمال حقيقي ليوم كامل</t>
  </si>
  <si>
    <t xml:space="preserve">1. استعمل البرنامج كما يستعمله مسؤول فرع: سجّل طلاباً، حضوراً، دفعات، مصاريف، ونسخة احتياطية.</t>
  </si>
  <si>
    <t xml:space="preserve">لا أخطاء ولا بيانات مفقودة. دوّن كل ما كان صعباً أو غير واضح.</t>
  </si>
  <si>
    <t xml:space="preserve">GEN-06</t>
  </si>
  <si>
    <t xml:space="preserve">استكشاف حر</t>
  </si>
  <si>
    <t xml:space="preserve">1. جرّب ما لم تغطه الاختبارات: أزرار، حالات غير عادية، أخطاء متعمدة.</t>
  </si>
  <si>
    <t xml:space="preserve">دوّن كل ملاحظة أو اقتراح في «الأخطاء والملاحظات».</t>
  </si>
  <si>
    <t xml:space="preserve">التاريخ</t>
  </si>
  <si>
    <t xml:space="preserve">المبلّغ</t>
  </si>
  <si>
    <t xml:space="preserve">ماذا فعلت؟ (الخطوات)</t>
  </si>
  <si>
    <t xml:space="preserve">لقطة الشاشة (رابط أو «واتساب»)</t>
  </si>
  <si>
    <t xml:space="preserve">حالة المعالجة (للمطوّر)</t>
  </si>
  <si>
    <t xml:space="preserve">رد المطوّر</t>
  </si>
  <si>
    <t xml:space="preserve">B-001</t>
  </si>
  <si>
    <t xml:space="preserve">B-002</t>
  </si>
  <si>
    <t xml:space="preserve">B-003</t>
  </si>
  <si>
    <t xml:space="preserve">B-004</t>
  </si>
  <si>
    <t xml:space="preserve">B-005</t>
  </si>
  <si>
    <t xml:space="preserve">B-006</t>
  </si>
  <si>
    <t xml:space="preserve">B-007</t>
  </si>
  <si>
    <t xml:space="preserve">B-008</t>
  </si>
  <si>
    <t xml:space="preserve">B-009</t>
  </si>
  <si>
    <t xml:space="preserve">B-010</t>
  </si>
  <si>
    <t xml:space="preserve">B-011</t>
  </si>
  <si>
    <t xml:space="preserve">B-012</t>
  </si>
  <si>
    <t xml:space="preserve">B-013</t>
  </si>
  <si>
    <t xml:space="preserve">B-014</t>
  </si>
  <si>
    <t xml:space="preserve">B-015</t>
  </si>
  <si>
    <t xml:space="preserve">B-016</t>
  </si>
  <si>
    <t xml:space="preserve">B-017</t>
  </si>
  <si>
    <t xml:space="preserve">B-018</t>
  </si>
  <si>
    <t xml:space="preserve">B-019</t>
  </si>
  <si>
    <t xml:space="preserve">B-020</t>
  </si>
  <si>
    <t xml:space="preserve">B-021</t>
  </si>
  <si>
    <t xml:space="preserve">B-022</t>
  </si>
  <si>
    <t xml:space="preserve">B-023</t>
  </si>
  <si>
    <t xml:space="preserve">B-024</t>
  </si>
  <si>
    <t xml:space="preserve">B-025</t>
  </si>
  <si>
    <t xml:space="preserve">B-026</t>
  </si>
  <si>
    <t xml:space="preserve">B-027</t>
  </si>
  <si>
    <t xml:space="preserve">B-028</t>
  </si>
  <si>
    <t xml:space="preserve">B-029</t>
  </si>
  <si>
    <t xml:space="preserve">B-030</t>
  </si>
  <si>
    <t xml:space="preserve">B-031</t>
  </si>
  <si>
    <t xml:space="preserve">B-032</t>
  </si>
  <si>
    <t xml:space="preserve">B-033</t>
  </si>
  <si>
    <t xml:space="preserve">B-034</t>
  </si>
  <si>
    <t xml:space="preserve">B-035</t>
  </si>
  <si>
    <t xml:space="preserve">B-036</t>
  </si>
  <si>
    <t xml:space="preserve">B-037</t>
  </si>
  <si>
    <t xml:space="preserve">B-038</t>
  </si>
  <si>
    <t xml:space="preserve">B-039</t>
  </si>
  <si>
    <t xml:space="preserve">B-040</t>
  </si>
  <si>
    <t xml:space="preserve">B-041</t>
  </si>
  <si>
    <t xml:space="preserve">B-042</t>
  </si>
  <si>
    <t xml:space="preserve">B-043</t>
  </si>
  <si>
    <t xml:space="preserve">B-044</t>
  </si>
  <si>
    <t xml:space="preserve">B-045</t>
  </si>
  <si>
    <t xml:space="preserve">B-046</t>
  </si>
  <si>
    <t xml:space="preserve">B-047</t>
  </si>
  <si>
    <t xml:space="preserve">B-048</t>
  </si>
  <si>
    <t xml:space="preserve">B-049</t>
  </si>
  <si>
    <t xml:space="preserve">B-050</t>
  </si>
  <si>
    <t xml:space="preserve">B-051</t>
  </si>
  <si>
    <t xml:space="preserve">B-052</t>
  </si>
  <si>
    <t xml:space="preserve">B-053</t>
  </si>
  <si>
    <t xml:space="preserve">B-054</t>
  </si>
  <si>
    <t xml:space="preserve">B-055</t>
  </si>
  <si>
    <t xml:space="preserve">B-056</t>
  </si>
  <si>
    <t xml:space="preserve">B-057</t>
  </si>
  <si>
    <t xml:space="preserve">B-058</t>
  </si>
  <si>
    <t xml:space="preserve">B-059</t>
  </si>
  <si>
    <t xml:space="preserve">B-060</t>
  </si>
  <si>
    <t xml:space="preserve">B-061</t>
  </si>
  <si>
    <t xml:space="preserve">B-062</t>
  </si>
  <si>
    <t xml:space="preserve">B-063</t>
  </si>
  <si>
    <t xml:space="preserve">B-064</t>
  </si>
  <si>
    <t xml:space="preserve">B-065</t>
  </si>
  <si>
    <t xml:space="preserve">B-066</t>
  </si>
  <si>
    <t xml:space="preserve">B-067</t>
  </si>
  <si>
    <t xml:space="preserve">B-068</t>
  </si>
  <si>
    <t xml:space="preserve">B-069</t>
  </si>
  <si>
    <t xml:space="preserve">B-070</t>
  </si>
  <si>
    <t xml:space="preserve">B-071</t>
  </si>
  <si>
    <t xml:space="preserve">B-072</t>
  </si>
  <si>
    <t xml:space="preserve">B-073</t>
  </si>
  <si>
    <t xml:space="preserve">B-074</t>
  </si>
  <si>
    <t xml:space="preserve">B-075</t>
  </si>
  <si>
    <t xml:space="preserve">B-076</t>
  </si>
  <si>
    <t xml:space="preserve">B-077</t>
  </si>
  <si>
    <t xml:space="preserve">B-078</t>
  </si>
  <si>
    <t xml:space="preserve">B-079</t>
  </si>
  <si>
    <t xml:space="preserve">B-080</t>
  </si>
  <si>
    <t xml:space="preserve">B-081</t>
  </si>
  <si>
    <t xml:space="preserve">B-082</t>
  </si>
  <si>
    <t xml:space="preserve">B-083</t>
  </si>
  <si>
    <t xml:space="preserve">B-084</t>
  </si>
  <si>
    <t xml:space="preserve">B-085</t>
  </si>
  <si>
    <t xml:space="preserve">B-086</t>
  </si>
  <si>
    <t xml:space="preserve">B-087</t>
  </si>
  <si>
    <t xml:space="preserve">B-088</t>
  </si>
  <si>
    <t xml:space="preserve">B-089</t>
  </si>
  <si>
    <t xml:space="preserve">B-090</t>
  </si>
  <si>
    <t xml:space="preserve">B-091</t>
  </si>
  <si>
    <t xml:space="preserve">B-092</t>
  </si>
  <si>
    <t xml:space="preserve">B-093</t>
  </si>
  <si>
    <t xml:space="preserve">B-094</t>
  </si>
  <si>
    <t xml:space="preserve">B-095</t>
  </si>
  <si>
    <t xml:space="preserve">B-096</t>
  </si>
  <si>
    <t xml:space="preserve">B-097</t>
  </si>
  <si>
    <t xml:space="preserve">B-098</t>
  </si>
  <si>
    <t xml:space="preserve">B-099</t>
  </si>
  <si>
    <t xml:space="preserve">B-100</t>
  </si>
  <si>
    <t xml:space="preserve">B-101</t>
  </si>
  <si>
    <t xml:space="preserve">B-102</t>
  </si>
  <si>
    <t xml:space="preserve">B-103</t>
  </si>
  <si>
    <t xml:space="preserve">B-104</t>
  </si>
  <si>
    <t xml:space="preserve">B-105</t>
  </si>
  <si>
    <t xml:space="preserve">B-106</t>
  </si>
  <si>
    <t xml:space="preserve">B-107</t>
  </si>
  <si>
    <t xml:space="preserve">B-108</t>
  </si>
  <si>
    <t xml:space="preserve">B-109</t>
  </si>
  <si>
    <t xml:space="preserve">B-110</t>
  </si>
  <si>
    <t xml:space="preserve">B-111</t>
  </si>
  <si>
    <t xml:space="preserve">B-112</t>
  </si>
  <si>
    <t xml:space="preserve">B-113</t>
  </si>
  <si>
    <t xml:space="preserve">B-114</t>
  </si>
  <si>
    <t xml:space="preserve">B-115</t>
  </si>
  <si>
    <t xml:space="preserve">B-116</t>
  </si>
  <si>
    <t xml:space="preserve">B-117</t>
  </si>
  <si>
    <t xml:space="preserve">B-118</t>
  </si>
  <si>
    <t xml:space="preserve">B-119</t>
  </si>
  <si>
    <t xml:space="preserve">B-120</t>
  </si>
  <si>
    <t xml:space="preserve">B-121</t>
  </si>
  <si>
    <t xml:space="preserve">B-122</t>
  </si>
  <si>
    <t xml:space="preserve">B-123</t>
  </si>
  <si>
    <t xml:space="preserve">B-124</t>
  </si>
  <si>
    <t xml:space="preserve">B-125</t>
  </si>
  <si>
    <t xml:space="preserve">B-126</t>
  </si>
  <si>
    <t xml:space="preserve">B-127</t>
  </si>
  <si>
    <t xml:space="preserve">B-128</t>
  </si>
  <si>
    <t xml:space="preserve">B-129</t>
  </si>
  <si>
    <t xml:space="preserve">B-130</t>
  </si>
  <si>
    <t xml:space="preserve">B-131</t>
  </si>
  <si>
    <t xml:space="preserve">B-132</t>
  </si>
  <si>
    <t xml:space="preserve">B-133</t>
  </si>
  <si>
    <t xml:space="preserve">B-134</t>
  </si>
  <si>
    <t xml:space="preserve">B-135</t>
  </si>
  <si>
    <t xml:space="preserve">B-136</t>
  </si>
  <si>
    <t xml:space="preserve">B-137</t>
  </si>
  <si>
    <t xml:space="preserve">B-138</t>
  </si>
  <si>
    <t xml:space="preserve">B-139</t>
  </si>
  <si>
    <t xml:space="preserve">B-140</t>
  </si>
  <si>
    <t xml:space="preserve">B-141</t>
  </si>
  <si>
    <t xml:space="preserve">B-142</t>
  </si>
  <si>
    <t xml:space="preserve">B-143</t>
  </si>
  <si>
    <t xml:space="preserve">B-144</t>
  </si>
  <si>
    <t xml:space="preserve">B-145</t>
  </si>
  <si>
    <t xml:space="preserve">B-146</t>
  </si>
  <si>
    <t xml:space="preserve">B-147</t>
  </si>
  <si>
    <t xml:space="preserve">B-148</t>
  </si>
  <si>
    <t xml:space="preserve">B-149</t>
  </si>
  <si>
    <t xml:space="preserve">B-150</t>
  </si>
  <si>
    <t xml:space="preserve">B-151</t>
  </si>
  <si>
    <t xml:space="preserve">B-152</t>
  </si>
  <si>
    <t xml:space="preserve">B-153</t>
  </si>
  <si>
    <t xml:space="preserve">B-154</t>
  </si>
  <si>
    <t xml:space="preserve">B-155</t>
  </si>
  <si>
    <t xml:space="preserve">B-156</t>
  </si>
  <si>
    <t xml:space="preserve">B-157</t>
  </si>
  <si>
    <t xml:space="preserve">B-158</t>
  </si>
  <si>
    <t xml:space="preserve">B-159</t>
  </si>
  <si>
    <t xml:space="preserve">B-160</t>
  </si>
  <si>
    <t xml:space="preserve">B-161</t>
  </si>
  <si>
    <t xml:space="preserve">B-162</t>
  </si>
  <si>
    <t xml:space="preserve">B-163</t>
  </si>
  <si>
    <t xml:space="preserve">B-164</t>
  </si>
  <si>
    <t xml:space="preserve">B-165</t>
  </si>
  <si>
    <t xml:space="preserve">B-166</t>
  </si>
  <si>
    <t xml:space="preserve">B-167</t>
  </si>
  <si>
    <t xml:space="preserve">B-168</t>
  </si>
  <si>
    <t xml:space="preserve">B-169</t>
  </si>
  <si>
    <t xml:space="preserve">B-170</t>
  </si>
  <si>
    <t xml:space="preserve">B-171</t>
  </si>
  <si>
    <t xml:space="preserve">B-172</t>
  </si>
  <si>
    <t xml:space="preserve">B-173</t>
  </si>
  <si>
    <t xml:space="preserve">B-174</t>
  </si>
  <si>
    <t xml:space="preserve">B-175</t>
  </si>
  <si>
    <t xml:space="preserve">B-176</t>
  </si>
  <si>
    <t xml:space="preserve">B-177</t>
  </si>
  <si>
    <t xml:space="preserve">B-178</t>
  </si>
  <si>
    <t xml:space="preserve">B-179</t>
  </si>
  <si>
    <t xml:space="preserve">B-180</t>
  </si>
  <si>
    <t xml:space="preserve">B-181</t>
  </si>
  <si>
    <t xml:space="preserve">B-182</t>
  </si>
  <si>
    <t xml:space="preserve">B-183</t>
  </si>
  <si>
    <t xml:space="preserve">B-184</t>
  </si>
  <si>
    <t xml:space="preserve">B-185</t>
  </si>
  <si>
    <t xml:space="preserve">B-186</t>
  </si>
  <si>
    <t xml:space="preserve">B-187</t>
  </si>
  <si>
    <t xml:space="preserve">B-188</t>
  </si>
  <si>
    <t xml:space="preserve">B-189</t>
  </si>
  <si>
    <t xml:space="preserve">B-190</t>
  </si>
  <si>
    <t xml:space="preserve">B-191</t>
  </si>
  <si>
    <t xml:space="preserve">B-192</t>
  </si>
  <si>
    <t xml:space="preserve">B-193</t>
  </si>
  <si>
    <t xml:space="preserve">B-194</t>
  </si>
  <si>
    <t xml:space="preserve">B-195</t>
  </si>
  <si>
    <t xml:space="preserve">B-196</t>
  </si>
  <si>
    <t xml:space="preserve">B-197</t>
  </si>
  <si>
    <t xml:space="preserve">B-198</t>
  </si>
  <si>
    <t xml:space="preserve">B-199</t>
  </si>
  <si>
    <t xml:space="preserve">B-200</t>
  </si>
  <si>
    <t xml:space="preserve">B-201</t>
  </si>
  <si>
    <t xml:space="preserve">B-202</t>
  </si>
  <si>
    <t xml:space="preserve">B-203</t>
  </si>
  <si>
    <t xml:space="preserve">B-204</t>
  </si>
  <si>
    <t xml:space="preserve">B-205</t>
  </si>
  <si>
    <t xml:space="preserve">B-206</t>
  </si>
  <si>
    <t xml:space="preserve">B-207</t>
  </si>
  <si>
    <t xml:space="preserve">B-208</t>
  </si>
  <si>
    <t xml:space="preserve">B-209</t>
  </si>
  <si>
    <t xml:space="preserve">B-210</t>
  </si>
  <si>
    <t xml:space="preserve">B-211</t>
  </si>
  <si>
    <t xml:space="preserve">B-212</t>
  </si>
  <si>
    <t xml:space="preserve">B-213</t>
  </si>
  <si>
    <t xml:space="preserve">B-214</t>
  </si>
  <si>
    <t xml:space="preserve">B-215</t>
  </si>
  <si>
    <t xml:space="preserve">B-216</t>
  </si>
  <si>
    <t xml:space="preserve">B-217</t>
  </si>
  <si>
    <t xml:space="preserve">B-218</t>
  </si>
  <si>
    <t xml:space="preserve">B-219</t>
  </si>
  <si>
    <t xml:space="preserve">B-220</t>
  </si>
  <si>
    <t xml:space="preserve">B-221</t>
  </si>
  <si>
    <t xml:space="preserve">B-222</t>
  </si>
  <si>
    <t xml:space="preserve">B-223</t>
  </si>
  <si>
    <t xml:space="preserve">B-224</t>
  </si>
  <si>
    <t xml:space="preserve">B-225</t>
  </si>
  <si>
    <t xml:space="preserve">B-226</t>
  </si>
  <si>
    <t xml:space="preserve">B-227</t>
  </si>
  <si>
    <t xml:space="preserve">B-228</t>
  </si>
  <si>
    <t xml:space="preserve">B-229</t>
  </si>
  <si>
    <t xml:space="preserve">B-230</t>
  </si>
  <si>
    <t xml:space="preserve">B-231</t>
  </si>
  <si>
    <t xml:space="preserve">B-232</t>
  </si>
  <si>
    <t xml:space="preserve">B-233</t>
  </si>
  <si>
    <t xml:space="preserve">B-234</t>
  </si>
  <si>
    <t xml:space="preserve">B-235</t>
  </si>
  <si>
    <t xml:space="preserve">B-236</t>
  </si>
  <si>
    <t xml:space="preserve">B-237</t>
  </si>
  <si>
    <t xml:space="preserve">B-238</t>
  </si>
  <si>
    <t xml:space="preserve">B-239</t>
  </si>
  <si>
    <t xml:space="preserve">B-240</t>
  </si>
  <si>
    <t xml:space="preserve">B-241</t>
  </si>
  <si>
    <t xml:space="preserve">B-242</t>
  </si>
  <si>
    <t xml:space="preserve">B-243</t>
  </si>
  <si>
    <t xml:space="preserve">B-244</t>
  </si>
  <si>
    <t xml:space="preserve">B-245</t>
  </si>
  <si>
    <t xml:space="preserve">B-246</t>
  </si>
  <si>
    <t xml:space="preserve">B-247</t>
  </si>
  <si>
    <t xml:space="preserve">B-248</t>
  </si>
  <si>
    <t xml:space="preserve">B-249</t>
  </si>
  <si>
    <t xml:space="preserve">B-250</t>
  </si>
  <si>
    <t xml:space="preserve">B-251</t>
  </si>
  <si>
    <t xml:space="preserve">B-252</t>
  </si>
  <si>
    <t xml:space="preserve">B-253</t>
  </si>
  <si>
    <t xml:space="preserve">B-254</t>
  </si>
  <si>
    <t xml:space="preserve">B-255</t>
  </si>
  <si>
    <t xml:space="preserve">B-256</t>
  </si>
  <si>
    <t xml:space="preserve">B-257</t>
  </si>
  <si>
    <t xml:space="preserve">B-258</t>
  </si>
  <si>
    <t xml:space="preserve">B-259</t>
  </si>
  <si>
    <t xml:space="preserve">B-260</t>
  </si>
  <si>
    <t xml:space="preserve">B-261</t>
  </si>
  <si>
    <t xml:space="preserve">B-262</t>
  </si>
  <si>
    <t xml:space="preserve">B-263</t>
  </si>
  <si>
    <t xml:space="preserve">B-264</t>
  </si>
  <si>
    <t xml:space="preserve">B-265</t>
  </si>
  <si>
    <t xml:space="preserve">B-266</t>
  </si>
  <si>
    <t xml:space="preserve">B-267</t>
  </si>
  <si>
    <t xml:space="preserve">B-268</t>
  </si>
  <si>
    <t xml:space="preserve">B-269</t>
  </si>
  <si>
    <t xml:space="preserve">B-270</t>
  </si>
  <si>
    <t xml:space="preserve">B-271</t>
  </si>
  <si>
    <t xml:space="preserve">B-272</t>
  </si>
  <si>
    <t xml:space="preserve">B-273</t>
  </si>
  <si>
    <t xml:space="preserve">B-274</t>
  </si>
  <si>
    <t xml:space="preserve">B-275</t>
  </si>
  <si>
    <t xml:space="preserve">B-276</t>
  </si>
  <si>
    <t xml:space="preserve">B-277</t>
  </si>
  <si>
    <t xml:space="preserve">B-278</t>
  </si>
  <si>
    <t xml:space="preserve">B-279</t>
  </si>
  <si>
    <t xml:space="preserve">B-280</t>
  </si>
  <si>
    <t xml:space="preserve">B-281</t>
  </si>
  <si>
    <t xml:space="preserve">B-282</t>
  </si>
  <si>
    <t xml:space="preserve">B-283</t>
  </si>
  <si>
    <t xml:space="preserve">B-284</t>
  </si>
  <si>
    <t xml:space="preserve">B-285</t>
  </si>
  <si>
    <t xml:space="preserve">B-286</t>
  </si>
  <si>
    <t xml:space="preserve">B-287</t>
  </si>
  <si>
    <t xml:space="preserve">B-288</t>
  </si>
  <si>
    <t xml:space="preserve">B-289</t>
  </si>
  <si>
    <t xml:space="preserve">B-290</t>
  </si>
  <si>
    <t xml:space="preserve">B-291</t>
  </si>
  <si>
    <t xml:space="preserve">B-292</t>
  </si>
  <si>
    <t xml:space="preserve">B-293</t>
  </si>
  <si>
    <t xml:space="preserve">B-294</t>
  </si>
  <si>
    <t xml:space="preserve">B-295</t>
  </si>
  <si>
    <t xml:space="preserve">B-296</t>
  </si>
  <si>
    <t xml:space="preserve">B-297</t>
  </si>
  <si>
    <t xml:space="preserve">B-298</t>
  </si>
  <si>
    <t xml:space="preserve">B-299</t>
  </si>
  <si>
    <t xml:space="preserve">B-300</t>
  </si>
  <si>
    <t xml:space="preserve">الاسم</t>
  </si>
  <si>
    <t xml:space="preserve">الهاتف</t>
  </si>
  <si>
    <t xml:space="preserve">الجهاز (Windows 10/11)</t>
  </si>
  <si>
    <t xml:space="preserve">الأقسام المحجوزة</t>
  </si>
  <si>
    <t xml:space="preserve">اختباراتي</t>
  </si>
  <si>
    <t xml:space="preserve">الأخطاء المسجلة</t>
  </si>
  <si>
    <t xml:space="preserve">متابعة الاختبار</t>
  </si>
  <si>
    <t xml:space="preserve">العدد</t>
  </si>
  <si>
    <t xml:space="preserve">النسبة</t>
  </si>
  <si>
    <t xml:space="preserve">كل الاختبارات</t>
  </si>
  <si>
    <t xml:space="preserve">التقدم العام (نجح + فشل)</t>
  </si>
  <si>
    <t xml:space="preserve">الاختبارات الأساسية المنجزة</t>
  </si>
  <si>
    <t xml:space="preserve">من</t>
  </si>
  <si>
    <t xml:space="preserve">الاختبارات</t>
  </si>
  <si>
    <t xml:space="preserve">الأخطاء</t>
  </si>
  <si>
    <t xml:space="preserve">المجموع</t>
  </si>
  <si>
    <t xml:space="preserve">كل الأخطاء</t>
  </si>
  <si>
    <t xml:space="preserve">جديد (لم يُعالج)</t>
  </si>
  <si>
    <t xml:space="preserve">قيد الإصلاح</t>
  </si>
  <si>
    <t xml:space="preserve">تم الإصلاح</t>
  </si>
  <si>
    <t xml:space="preserve">يحتاج توضيح</t>
  </si>
  <si>
    <t xml:space="preserve">لن يُصلح</t>
  </si>
  <si>
    <t xml:space="preserve">الأقسام</t>
  </si>
  <si>
    <t xml:space="preserve">اختباراته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</si>
</sst>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C564A"/>
      <name val="Arial"/>
      <family val="0"/>
      <charset val="1"/>
    </font>
    <font>
      <sz val="12"/>
      <color rgb="FF1F2A2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2A28"/>
      <name val="Arial"/>
      <family val="0"/>
      <charset val="1"/>
    </font>
    <font>
      <sz val="11"/>
      <color rgb="FF1F2A28"/>
      <name val="Arial"/>
      <family val="0"/>
      <charset val="1"/>
    </font>
    <font>
      <b val="true"/>
      <sz val="11"/>
      <color rgb="FF1C564A"/>
      <name val="Arial"/>
      <family val="0"/>
      <charset val="1"/>
    </font>
    <font>
      <i val="true"/>
      <sz val="11"/>
      <color rgb="FF4A5A56"/>
      <name val="Arial"/>
      <family val="0"/>
      <charset val="1"/>
    </font>
    <font>
      <b val="true"/>
      <sz val="12"/>
      <color rgb="FFD4A72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C564A"/>
      <name val="Arial"/>
      <family val="0"/>
      <charset val="1"/>
    </font>
    <font>
      <sz val="10"/>
      <color rgb="FF1F2A28"/>
      <name val="Arial"/>
      <family val="0"/>
      <charset val="1"/>
    </font>
    <font>
      <b val="true"/>
      <sz val="10"/>
      <color rgb="FF1F2A28"/>
      <name val="Arial"/>
      <family val="0"/>
      <charset val="1"/>
    </font>
    <font>
      <b val="true"/>
      <sz val="12"/>
      <color rgb="FF1F2A28"/>
      <name val="Arial"/>
      <family val="0"/>
      <charset val="1"/>
    </font>
    <font>
      <b val="true"/>
      <sz val="12"/>
      <color rgb="FF1C564A"/>
      <name val="Arial"/>
      <family val="0"/>
      <charset val="1"/>
    </font>
    <font>
      <b val="true"/>
      <sz val="14"/>
      <color rgb="FF1C56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564A"/>
        <bgColor rgb="FF146C2E"/>
      </patternFill>
    </fill>
    <fill>
      <patternFill patternType="solid">
        <fgColor rgb="FFFFF6D5"/>
        <bgColor rgb="FFFDE8C8"/>
      </patternFill>
    </fill>
    <fill>
      <patternFill patternType="solid">
        <fgColor rgb="FFEEF1F0"/>
        <bgColor rgb="FFE8E4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0"/>
      </left>
      <right style="thin">
        <color rgb="FFC9D3D0"/>
      </right>
      <top style="thin">
        <color rgb="FFC9D3D0"/>
      </top>
      <bottom style="thin">
        <color rgb="FFC9D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3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4" fillId="4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4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7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7" fontId="18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4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146C2E"/>
      </font>
      <fill>
        <patternFill>
          <bgColor rgb="FFD8F0DF"/>
        </patternFill>
      </fill>
    </dxf>
    <dxf>
      <font>
        <name val="Arial"/>
        <charset val="1"/>
        <family val="0"/>
        <b val="1"/>
        <color rgb="FFA1231A"/>
      </font>
      <fill>
        <patternFill>
          <bgColor rgb="FFF9D9D6"/>
        </patternFill>
      </fill>
    </dxf>
    <dxf>
      <font>
        <name val="Arial"/>
        <charset val="1"/>
        <family val="0"/>
        <b val="1"/>
        <color rgb="FF8A5300"/>
      </font>
      <fill>
        <patternFill>
          <bgColor rgb="FFFDE8C8"/>
        </patternFill>
      </fill>
    </dxf>
    <dxf>
      <font>
        <name val="Arial"/>
        <charset val="1"/>
        <family val="0"/>
        <b val="1"/>
        <color rgb="FF1D4E91"/>
      </font>
      <fill>
        <patternFill>
          <bgColor rgb="FFDCE8FA"/>
        </patternFill>
      </fill>
    </dxf>
    <dxf>
      <fill>
        <patternFill patternType="solid">
          <fgColor rgb="FF1C56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A28"/>
          <bgColor rgb="FF000000"/>
        </patternFill>
      </fill>
    </dxf>
    <dxf>
      <fill>
        <patternFill patternType="solid">
          <fgColor rgb="FFEEF1F0"/>
          <bgColor rgb="FF000000"/>
        </patternFill>
      </fill>
    </dxf>
    <dxf>
      <fill>
        <patternFill patternType="solid">
          <fgColor rgb="FFA1231A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ont>
        <name val="Arial"/>
        <charset val="1"/>
        <family val="0"/>
        <b val="1"/>
        <color rgb="FFA1231A"/>
      </font>
    </dxf>
    <dxf>
      <font>
        <name val="Arial"/>
        <charset val="1"/>
        <family val="0"/>
        <b val="1"/>
        <color rgb="FF4B3A8C"/>
      </font>
      <fill>
        <patternFill>
          <bgColor rgb="FFE8E4F5"/>
        </patternFill>
      </fill>
    </dxf>
    <dxf>
      <fill>
        <patternFill>
          <bgColor rgb="FFD8F0DF"/>
        </patternFill>
      </fill>
    </dxf>
    <dxf>
      <fill>
        <patternFill>
          <bgColor rgb="FFDCE8FA"/>
        </patternFill>
      </fill>
    </dxf>
    <dxf>
      <fill>
        <patternFill>
          <bgColor rgb="FFFDE8C8"/>
        </patternFill>
      </fill>
    </dxf>
    <dxf>
      <fill>
        <patternFill>
          <bgColor rgb="FFE4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6C2E"/>
      <rgbColor rgb="FF000080"/>
      <rgbColor rgb="FF8A5300"/>
      <rgbColor rgb="FF800080"/>
      <rgbColor rgb="FF008080"/>
      <rgbColor rgb="FFC9D3D0"/>
      <rgbColor rgb="FF808080"/>
      <rgbColor rgb="FF9999FF"/>
      <rgbColor rgb="FF993366"/>
      <rgbColor rgb="FFFFF6D5"/>
      <rgbColor rgb="FFDCE8FA"/>
      <rgbColor rgb="FF660066"/>
      <rgbColor rgb="FFFF8080"/>
      <rgbColor rgb="FF0066CC"/>
      <rgbColor rgb="FFE8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0"/>
      <rgbColor rgb="FFD8F0DF"/>
      <rgbColor rgb="FFFDE8C8"/>
      <rgbColor rgb="FFE4E4E4"/>
      <rgbColor rgb="FFFF99CC"/>
      <rgbColor rgb="FFCC99FF"/>
      <rgbColor rgb="FFF9D9D6"/>
      <rgbColor rgb="FF3366FF"/>
      <rgbColor rgb="FF33CCCC"/>
      <rgbColor rgb="FF99CC00"/>
      <rgbColor rgb="FFFFCC00"/>
      <rgbColor rgb="FFD4A72C"/>
      <rgbColor rgb="FFFF6600"/>
      <rgbColor rgb="FF4A5A56"/>
      <rgbColor rgb="FF969696"/>
      <rgbColor rgb="FF1D4E91"/>
      <rgbColor rgb="FF339966"/>
      <rgbColor rgb="FF003300"/>
      <rgbColor rgb="FF1C564A"/>
      <rgbColor rgb="FFA1231A"/>
      <rgbColor rgb="FF993366"/>
      <rgbColor rgb="FF4B3A8C"/>
      <rgbColor rgb="FF1F2A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33.75" hidden="false" customHeight="true" outlineLevel="0" collapsed="false">
      <c r="B2" s="1" t="s">
        <v>0</v>
      </c>
      <c r="C2" s="1"/>
    </row>
    <row r="3" customFormat="false" ht="39.75" hidden="false" customHeight="true" outlineLevel="0" collapsed="false">
      <c r="B3" s="2" t="s">
        <v>1</v>
      </c>
      <c r="C3" s="2"/>
    </row>
    <row r="5" customFormat="false" ht="15" hidden="false" customHeight="true" outlineLevel="0" collapsed="false">
      <c r="B5" s="3" t="s">
        <v>2</v>
      </c>
      <c r="C5" s="3"/>
    </row>
    <row r="6" customFormat="false" ht="15" hidden="false" customHeight="false" outlineLevel="0" collapsed="false">
      <c r="B6" s="4" t="s">
        <v>3</v>
      </c>
      <c r="C6" s="5"/>
    </row>
    <row r="7" customFormat="false" ht="15" hidden="false" customHeight="false" outlineLevel="0" collapsed="false">
      <c r="B7" s="4" t="s">
        <v>4</v>
      </c>
      <c r="C7" s="5"/>
    </row>
    <row r="8" customFormat="false" ht="15" hidden="false" customHeight="false" outlineLevel="0" collapsed="false">
      <c r="B8" s="4" t="s">
        <v>5</v>
      </c>
      <c r="C8" s="5"/>
    </row>
    <row r="9" customFormat="false" ht="15" hidden="false" customHeight="false" outlineLevel="0" collapsed="false">
      <c r="B9" s="4" t="s">
        <v>6</v>
      </c>
      <c r="C9" s="5"/>
    </row>
    <row r="10" customFormat="false" ht="15" hidden="false" customHeight="false" outlineLevel="0" collapsed="false">
      <c r="B10" s="4" t="s">
        <v>7</v>
      </c>
      <c r="C10" s="5"/>
    </row>
    <row r="12" customFormat="false" ht="15" hidden="false" customHeight="true" outlineLevel="0" collapsed="false">
      <c r="B12" s="3" t="s">
        <v>8</v>
      </c>
      <c r="C12" s="3"/>
    </row>
    <row r="13" customFormat="false" ht="36" hidden="false" customHeight="true" outlineLevel="0" collapsed="false">
      <c r="B13" s="6" t="s">
        <v>9</v>
      </c>
      <c r="C13" s="7" t="s">
        <v>10</v>
      </c>
    </row>
    <row r="14" customFormat="false" ht="36" hidden="false" customHeight="true" outlineLevel="0" collapsed="false">
      <c r="B14" s="6" t="s">
        <v>11</v>
      </c>
      <c r="C14" s="7" t="s">
        <v>12</v>
      </c>
    </row>
    <row r="15" customFormat="false" ht="36" hidden="false" customHeight="true" outlineLevel="0" collapsed="false">
      <c r="B15" s="6" t="s">
        <v>13</v>
      </c>
      <c r="C15" s="7" t="s">
        <v>14</v>
      </c>
    </row>
    <row r="16" customFormat="false" ht="36" hidden="false" customHeight="true" outlineLevel="0" collapsed="false">
      <c r="B16" s="6" t="s">
        <v>15</v>
      </c>
      <c r="C16" s="7" t="s">
        <v>16</v>
      </c>
    </row>
    <row r="17" customFormat="false" ht="36" hidden="false" customHeight="true" outlineLevel="0" collapsed="false">
      <c r="B17" s="6" t="s">
        <v>17</v>
      </c>
      <c r="C17" s="7" t="s">
        <v>18</v>
      </c>
    </row>
    <row r="18" customFormat="false" ht="36" hidden="false" customHeight="true" outlineLevel="0" collapsed="false">
      <c r="B18" s="6" t="s">
        <v>19</v>
      </c>
      <c r="C18" s="7" t="s">
        <v>20</v>
      </c>
    </row>
    <row r="20" customFormat="false" ht="15" hidden="false" customHeight="true" outlineLevel="0" collapsed="false">
      <c r="B20" s="3" t="s">
        <v>21</v>
      </c>
      <c r="C20" s="3"/>
    </row>
    <row r="21" customFormat="false" ht="15" hidden="false" customHeight="false" outlineLevel="0" collapsed="false">
      <c r="B21" s="8" t="s">
        <v>22</v>
      </c>
      <c r="C21" s="7" t="s">
        <v>23</v>
      </c>
    </row>
    <row r="22" customFormat="false" ht="15" hidden="false" customHeight="false" outlineLevel="0" collapsed="false">
      <c r="B22" s="8" t="s">
        <v>24</v>
      </c>
      <c r="C22" s="7" t="s">
        <v>25</v>
      </c>
    </row>
    <row r="23" customFormat="false" ht="15" hidden="false" customHeight="false" outlineLevel="0" collapsed="false">
      <c r="B23" s="8" t="s">
        <v>26</v>
      </c>
      <c r="C23" s="7" t="s">
        <v>27</v>
      </c>
    </row>
    <row r="24" customFormat="false" ht="15" hidden="false" customHeight="false" outlineLevel="0" collapsed="false">
      <c r="B24" s="8" t="s">
        <v>28</v>
      </c>
      <c r="C24" s="7" t="s">
        <v>29</v>
      </c>
    </row>
    <row r="25" customFormat="false" ht="15" hidden="false" customHeight="false" outlineLevel="0" collapsed="false">
      <c r="B25" s="8" t="s">
        <v>30</v>
      </c>
      <c r="C25" s="7" t="s">
        <v>31</v>
      </c>
    </row>
    <row r="27" customFormat="false" ht="15" hidden="false" customHeight="true" outlineLevel="0" collapsed="false">
      <c r="B27" s="3" t="s">
        <v>32</v>
      </c>
      <c r="C27" s="3"/>
    </row>
    <row r="28" customFormat="false" ht="15" hidden="false" customHeight="false" outlineLevel="0" collapsed="false">
      <c r="B28" s="8" t="s">
        <v>33</v>
      </c>
      <c r="C28" s="7" t="s">
        <v>34</v>
      </c>
    </row>
    <row r="29" customFormat="false" ht="15" hidden="false" customHeight="false" outlineLevel="0" collapsed="false">
      <c r="B29" s="8" t="s">
        <v>35</v>
      </c>
      <c r="C29" s="7" t="s">
        <v>36</v>
      </c>
    </row>
    <row r="30" customFormat="false" ht="15" hidden="false" customHeight="false" outlineLevel="0" collapsed="false">
      <c r="B30" s="8" t="s">
        <v>37</v>
      </c>
      <c r="C30" s="7" t="s">
        <v>38</v>
      </c>
    </row>
    <row r="31" customFormat="false" ht="15" hidden="false" customHeight="false" outlineLevel="0" collapsed="false">
      <c r="B31" s="8" t="s">
        <v>39</v>
      </c>
      <c r="C31" s="7" t="s">
        <v>40</v>
      </c>
    </row>
    <row r="33" customFormat="false" ht="15" hidden="false" customHeight="true" outlineLevel="0" collapsed="false">
      <c r="B33" s="3" t="s">
        <v>41</v>
      </c>
      <c r="C33" s="3"/>
    </row>
    <row r="34" customFormat="false" ht="15" hidden="false" customHeight="false" outlineLevel="0" collapsed="false">
      <c r="B34" s="4" t="s">
        <v>42</v>
      </c>
      <c r="C34" s="9" t="s">
        <v>43</v>
      </c>
    </row>
    <row r="35" customFormat="false" ht="15" hidden="false" customHeight="false" outlineLevel="0" collapsed="false">
      <c r="B35" s="4" t="s">
        <v>44</v>
      </c>
      <c r="C35" s="9" t="s">
        <v>45</v>
      </c>
    </row>
    <row r="36" customFormat="false" ht="15" hidden="false" customHeight="false" outlineLevel="0" collapsed="false">
      <c r="B36" s="4" t="s">
        <v>46</v>
      </c>
      <c r="C36" s="9" t="s">
        <v>47</v>
      </c>
    </row>
    <row r="37" customFormat="false" ht="15" hidden="false" customHeight="false" outlineLevel="0" collapsed="false">
      <c r="B37" s="4" t="s">
        <v>48</v>
      </c>
      <c r="C37" s="9" t="s">
        <v>49</v>
      </c>
    </row>
    <row r="38" customFormat="false" ht="15" hidden="false" customHeight="false" outlineLevel="0" collapsed="false">
      <c r="B38" s="4" t="s">
        <v>50</v>
      </c>
      <c r="C38" s="9" t="s">
        <v>35</v>
      </c>
    </row>
    <row r="39" customFormat="false" ht="15" hidden="false" customHeight="false" outlineLevel="0" collapsed="false">
      <c r="B39" s="4" t="s">
        <v>51</v>
      </c>
      <c r="C39" s="9" t="s">
        <v>52</v>
      </c>
    </row>
    <row r="41" customFormat="false" ht="15" hidden="false" customHeight="true" outlineLevel="0" collapsed="false">
      <c r="B41" s="3" t="s">
        <v>53</v>
      </c>
      <c r="C41" s="3"/>
    </row>
    <row r="42" customFormat="false" ht="30" hidden="false" customHeight="true" outlineLevel="0" collapsed="false">
      <c r="B42" s="10" t="s">
        <v>54</v>
      </c>
      <c r="C42" s="7" t="s">
        <v>55</v>
      </c>
    </row>
    <row r="43" customFormat="false" ht="30" hidden="false" customHeight="true" outlineLevel="0" collapsed="false">
      <c r="B43" s="10" t="s">
        <v>54</v>
      </c>
      <c r="C43" s="7" t="s">
        <v>56</v>
      </c>
    </row>
    <row r="44" customFormat="false" ht="30" hidden="false" customHeight="true" outlineLevel="0" collapsed="false">
      <c r="B44" s="10" t="s">
        <v>54</v>
      </c>
      <c r="C44" s="7" t="s">
        <v>57</v>
      </c>
    </row>
    <row r="45" customFormat="false" ht="30" hidden="false" customHeight="true" outlineLevel="0" collapsed="false">
      <c r="B45" s="10" t="s">
        <v>54</v>
      </c>
      <c r="C45" s="7" t="s">
        <v>58</v>
      </c>
    </row>
    <row r="46" customFormat="false" ht="30" hidden="false" customHeight="true" outlineLevel="0" collapsed="false">
      <c r="B46" s="10" t="s">
        <v>54</v>
      </c>
      <c r="C46" s="7" t="s">
        <v>59</v>
      </c>
    </row>
    <row r="47" customFormat="false" ht="30" hidden="false" customHeight="true" outlineLevel="0" collapsed="false">
      <c r="B47" s="10" t="s">
        <v>54</v>
      </c>
      <c r="C47" s="7" t="s">
        <v>60</v>
      </c>
    </row>
    <row r="49" customFormat="false" ht="15" hidden="false" customHeight="false" outlineLevel="0" collapsed="false">
      <c r="B49" s="11" t="s">
        <v>61</v>
      </c>
      <c r="C49" s="5" t="s">
        <v>62</v>
      </c>
    </row>
    <row r="50" customFormat="false" ht="15" hidden="false" customHeight="false" outlineLevel="0" collapsed="false">
      <c r="C50" s="12" t="s">
        <v>63</v>
      </c>
    </row>
  </sheetData>
  <mergeCells count="8">
    <mergeCell ref="B2:C2"/>
    <mergeCell ref="B3:C3"/>
    <mergeCell ref="B5:C5"/>
    <mergeCell ref="B12:C12"/>
    <mergeCell ref="B20:C20"/>
    <mergeCell ref="B27:C27"/>
    <mergeCell ref="B33:C33"/>
    <mergeCell ref="B41:C41"/>
  </mergeCells>
  <conditionalFormatting sqref="B21:B25">
    <cfRule type="expression" priority="2" aboveAverage="0" equalAverage="0" bottom="0" percent="0" rank="0" text="" dxfId="0">
      <formula>B21="نجح"</formula>
    </cfRule>
    <cfRule type="expression" priority="3" aboveAverage="0" equalAverage="0" bottom="0" percent="0" rank="0" text="" dxfId="1">
      <formula>B21="فشل"</formula>
    </cfRule>
    <cfRule type="expression" priority="4" aboveAverage="0" equalAverage="0" bottom="0" percent="0" rank="0" text="" dxfId="2">
      <formula>B21="متوقف"</formula>
    </cfRule>
    <cfRule type="expression" priority="5" aboveAverage="0" equalAverage="0" bottom="0" percent="0" rank="0" text="" dxfId="3">
      <formula>B21="قيد التنفيذ"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3" min="11" style="0" width="8"/>
    <col collapsed="false" customWidth="true" hidden="false" outlineLevel="0" max="15" min="14" style="0" width="10"/>
    <col collapsed="false" customWidth="true" hidden="false" outlineLevel="0" max="16" min="16" style="0" width="15"/>
  </cols>
  <sheetData>
    <row r="1" customFormat="false" ht="39.75" hidden="false" customHeight="true" outlineLevel="0" collapsed="false">
      <c r="A1" s="13" t="s">
        <v>64</v>
      </c>
      <c r="B1" s="13" t="s">
        <v>65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26</v>
      </c>
      <c r="L1" s="13" t="s">
        <v>28</v>
      </c>
      <c r="M1" s="13" t="s">
        <v>30</v>
      </c>
      <c r="N1" s="13" t="s">
        <v>74</v>
      </c>
      <c r="O1" s="13" t="s">
        <v>75</v>
      </c>
      <c r="P1" s="13" t="s">
        <v>76</v>
      </c>
    </row>
    <row r="2" customFormat="false" ht="48" hidden="false" customHeight="true" outlineLevel="0" collapsed="false">
      <c r="A2" s="14" t="s">
        <v>77</v>
      </c>
      <c r="B2" s="4" t="s">
        <v>78</v>
      </c>
      <c r="C2" s="7" t="s">
        <v>79</v>
      </c>
      <c r="D2" s="15" t="n">
        <v>40</v>
      </c>
      <c r="E2" s="7" t="s">
        <v>80</v>
      </c>
      <c r="F2" s="7" t="s">
        <v>81</v>
      </c>
      <c r="G2" s="15" t="s">
        <v>82</v>
      </c>
      <c r="H2" s="16"/>
      <c r="I2" s="17"/>
      <c r="J2" s="18" t="n">
        <f aca="false">COUNTIF(الاختبارات!$B$2:$B$1000,A2)</f>
        <v>11</v>
      </c>
      <c r="K2" s="18" t="n">
        <f aca="false">COUNTIFS(الاختبارات!$B$2:$B$1000,A2,الاختبارات!$J$2:$J$1000,"نجح")</f>
        <v>0</v>
      </c>
      <c r="L2" s="18" t="n">
        <f aca="false">COUNTIFS(الاختبارات!$B$2:$B$1000,A2,الاختبارات!$J$2:$J$1000,"فشل")</f>
        <v>0</v>
      </c>
      <c r="M2" s="18" t="n">
        <f aca="false">COUNTIFS(الاختبارات!$B$2:$B$1000,A2,الاختبارات!$J$2:$J$1000,"متوقف")</f>
        <v>0</v>
      </c>
      <c r="N2" s="18" t="n">
        <f aca="false">K2+L2</f>
        <v>0</v>
      </c>
      <c r="O2" s="19" t="n">
        <f aca="false">IF(J2=0,0,N2/J2)</f>
        <v>0</v>
      </c>
      <c r="P2" s="20" t="str">
        <f aca="false">IF(H2="","متاح للحجز",IF(N2=J2,"مكتمل","قيد الاختبار"))</f>
        <v>متاح للحجز</v>
      </c>
    </row>
    <row r="3" customFormat="false" ht="48" hidden="false" customHeight="true" outlineLevel="0" collapsed="false">
      <c r="A3" s="14" t="s">
        <v>83</v>
      </c>
      <c r="B3" s="4" t="s">
        <v>84</v>
      </c>
      <c r="C3" s="7" t="s">
        <v>85</v>
      </c>
      <c r="D3" s="15" t="n">
        <v>45</v>
      </c>
      <c r="E3" s="7" t="s">
        <v>80</v>
      </c>
      <c r="F3" s="7" t="s">
        <v>86</v>
      </c>
      <c r="G3" s="15" t="s">
        <v>87</v>
      </c>
      <c r="H3" s="16"/>
      <c r="I3" s="17"/>
      <c r="J3" s="18" t="n">
        <f aca="false">COUNTIF(الاختبارات!$B$2:$B$1000,A3)</f>
        <v>11</v>
      </c>
      <c r="K3" s="18" t="n">
        <f aca="false">COUNTIFS(الاختبارات!$B$2:$B$1000,A3,الاختبارات!$J$2:$J$1000,"نجح")</f>
        <v>0</v>
      </c>
      <c r="L3" s="18" t="n">
        <f aca="false">COUNTIFS(الاختبارات!$B$2:$B$1000,A3,الاختبارات!$J$2:$J$1000,"فشل")</f>
        <v>0</v>
      </c>
      <c r="M3" s="18" t="n">
        <f aca="false">COUNTIFS(الاختبارات!$B$2:$B$1000,A3,الاختبارات!$J$2:$J$1000,"متوقف")</f>
        <v>0</v>
      </c>
      <c r="N3" s="18" t="n">
        <f aca="false">K3+L3</f>
        <v>0</v>
      </c>
      <c r="O3" s="19" t="n">
        <f aca="false">IF(J3=0,0,N3/J3)</f>
        <v>0</v>
      </c>
      <c r="P3" s="20" t="str">
        <f aca="false">IF(H3="","متاح للحجز",IF(N3=J3,"مكتمل","قيد الاختبار"))</f>
        <v>متاح للحجز</v>
      </c>
    </row>
    <row r="4" customFormat="false" ht="48" hidden="false" customHeight="true" outlineLevel="0" collapsed="false">
      <c r="A4" s="14" t="s">
        <v>88</v>
      </c>
      <c r="B4" s="4" t="s">
        <v>89</v>
      </c>
      <c r="C4" s="7" t="s">
        <v>90</v>
      </c>
      <c r="D4" s="15" t="n">
        <v>60</v>
      </c>
      <c r="E4" s="7" t="s">
        <v>91</v>
      </c>
      <c r="F4" s="7" t="s">
        <v>86</v>
      </c>
      <c r="G4" s="15"/>
      <c r="H4" s="16"/>
      <c r="I4" s="17"/>
      <c r="J4" s="18" t="n">
        <f aca="false">COUNTIF(الاختبارات!$B$2:$B$1000,A4)</f>
        <v>13</v>
      </c>
      <c r="K4" s="18" t="n">
        <f aca="false">COUNTIFS(الاختبارات!$B$2:$B$1000,A4,الاختبارات!$J$2:$J$1000,"نجح")</f>
        <v>0</v>
      </c>
      <c r="L4" s="18" t="n">
        <f aca="false">COUNTIFS(الاختبارات!$B$2:$B$1000,A4,الاختبارات!$J$2:$J$1000,"فشل")</f>
        <v>0</v>
      </c>
      <c r="M4" s="18" t="n">
        <f aca="false">COUNTIFS(الاختبارات!$B$2:$B$1000,A4,الاختبارات!$J$2:$J$1000,"متوقف")</f>
        <v>0</v>
      </c>
      <c r="N4" s="18" t="n">
        <f aca="false">K4+L4</f>
        <v>0</v>
      </c>
      <c r="O4" s="19" t="n">
        <f aca="false">IF(J4=0,0,N4/J4)</f>
        <v>0</v>
      </c>
      <c r="P4" s="20" t="str">
        <f aca="false">IF(H4="","متاح للحجز",IF(N4=J4,"مكتمل","قيد الاختبار"))</f>
        <v>متاح للحجز</v>
      </c>
    </row>
    <row r="5" customFormat="false" ht="48" hidden="false" customHeight="true" outlineLevel="0" collapsed="false">
      <c r="A5" s="14" t="s">
        <v>92</v>
      </c>
      <c r="B5" s="4" t="s">
        <v>93</v>
      </c>
      <c r="C5" s="7" t="s">
        <v>94</v>
      </c>
      <c r="D5" s="15" t="n">
        <v>35</v>
      </c>
      <c r="E5" s="7" t="s">
        <v>80</v>
      </c>
      <c r="F5" s="7" t="s">
        <v>86</v>
      </c>
      <c r="G5" s="15" t="s">
        <v>95</v>
      </c>
      <c r="H5" s="16"/>
      <c r="I5" s="17"/>
      <c r="J5" s="18" t="n">
        <f aca="false">COUNTIF(الاختبارات!$B$2:$B$1000,A5)</f>
        <v>8</v>
      </c>
      <c r="K5" s="18" t="n">
        <f aca="false">COUNTIFS(الاختبارات!$B$2:$B$1000,A5,الاختبارات!$J$2:$J$1000,"نجح")</f>
        <v>0</v>
      </c>
      <c r="L5" s="18" t="n">
        <f aca="false">COUNTIFS(الاختبارات!$B$2:$B$1000,A5,الاختبارات!$J$2:$J$1000,"فشل")</f>
        <v>0</v>
      </c>
      <c r="M5" s="18" t="n">
        <f aca="false">COUNTIFS(الاختبارات!$B$2:$B$1000,A5,الاختبارات!$J$2:$J$1000,"متوقف")</f>
        <v>0</v>
      </c>
      <c r="N5" s="18" t="n">
        <f aca="false">K5+L5</f>
        <v>0</v>
      </c>
      <c r="O5" s="19" t="n">
        <f aca="false">IF(J5=0,0,N5/J5)</f>
        <v>0</v>
      </c>
      <c r="P5" s="20" t="str">
        <f aca="false">IF(H5="","متاح للحجز",IF(N5=J5,"مكتمل","قيد الاختبار"))</f>
        <v>متاح للحجز</v>
      </c>
    </row>
    <row r="6" customFormat="false" ht="48" hidden="false" customHeight="true" outlineLevel="0" collapsed="false">
      <c r="A6" s="14" t="s">
        <v>96</v>
      </c>
      <c r="B6" s="4" t="s">
        <v>97</v>
      </c>
      <c r="C6" s="7" t="s">
        <v>98</v>
      </c>
      <c r="D6" s="15" t="n">
        <v>70</v>
      </c>
      <c r="E6" s="7" t="s">
        <v>80</v>
      </c>
      <c r="F6" s="7" t="s">
        <v>99</v>
      </c>
      <c r="G6" s="15" t="s">
        <v>100</v>
      </c>
      <c r="H6" s="16"/>
      <c r="I6" s="17"/>
      <c r="J6" s="18" t="n">
        <f aca="false">COUNTIF(الاختبارات!$B$2:$B$1000,A6)</f>
        <v>16</v>
      </c>
      <c r="K6" s="18" t="n">
        <f aca="false">COUNTIFS(الاختبارات!$B$2:$B$1000,A6,الاختبارات!$J$2:$J$1000,"نجح")</f>
        <v>0</v>
      </c>
      <c r="L6" s="18" t="n">
        <f aca="false">COUNTIFS(الاختبارات!$B$2:$B$1000,A6,الاختبارات!$J$2:$J$1000,"فشل")</f>
        <v>0</v>
      </c>
      <c r="M6" s="18" t="n">
        <f aca="false">COUNTIFS(الاختبارات!$B$2:$B$1000,A6,الاختبارات!$J$2:$J$1000,"متوقف")</f>
        <v>0</v>
      </c>
      <c r="N6" s="18" t="n">
        <f aca="false">K6+L6</f>
        <v>0</v>
      </c>
      <c r="O6" s="19" t="n">
        <f aca="false">IF(J6=0,0,N6/J6)</f>
        <v>0</v>
      </c>
      <c r="P6" s="20" t="str">
        <f aca="false">IF(H6="","متاح للحجز",IF(N6=J6,"مكتمل","قيد الاختبار"))</f>
        <v>متاح للحجز</v>
      </c>
    </row>
    <row r="7" customFormat="false" ht="48" hidden="false" customHeight="true" outlineLevel="0" collapsed="false">
      <c r="A7" s="14" t="s">
        <v>101</v>
      </c>
      <c r="B7" s="4" t="s">
        <v>102</v>
      </c>
      <c r="C7" s="7" t="s">
        <v>103</v>
      </c>
      <c r="D7" s="15" t="n">
        <v>55</v>
      </c>
      <c r="E7" s="7" t="s">
        <v>80</v>
      </c>
      <c r="F7" s="7" t="s">
        <v>104</v>
      </c>
      <c r="G7" s="15" t="s">
        <v>105</v>
      </c>
      <c r="H7" s="16"/>
      <c r="I7" s="17"/>
      <c r="J7" s="18" t="n">
        <f aca="false">COUNTIF(الاختبارات!$B$2:$B$1000,A7)</f>
        <v>12</v>
      </c>
      <c r="K7" s="18" t="n">
        <f aca="false">COUNTIFS(الاختبارات!$B$2:$B$1000,A7,الاختبارات!$J$2:$J$1000,"نجح")</f>
        <v>0</v>
      </c>
      <c r="L7" s="18" t="n">
        <f aca="false">COUNTIFS(الاختبارات!$B$2:$B$1000,A7,الاختبارات!$J$2:$J$1000,"فشل")</f>
        <v>0</v>
      </c>
      <c r="M7" s="18" t="n">
        <f aca="false">COUNTIFS(الاختبارات!$B$2:$B$1000,A7,الاختبارات!$J$2:$J$1000,"متوقف")</f>
        <v>0</v>
      </c>
      <c r="N7" s="18" t="n">
        <f aca="false">K7+L7</f>
        <v>0</v>
      </c>
      <c r="O7" s="19" t="n">
        <f aca="false">IF(J7=0,0,N7/J7)</f>
        <v>0</v>
      </c>
      <c r="P7" s="20" t="str">
        <f aca="false">IF(H7="","متاح للحجز",IF(N7=J7,"مكتمل","قيد الاختبار"))</f>
        <v>متاح للحجز</v>
      </c>
    </row>
    <row r="8" customFormat="false" ht="48" hidden="false" customHeight="true" outlineLevel="0" collapsed="false">
      <c r="A8" s="14" t="s">
        <v>106</v>
      </c>
      <c r="B8" s="4" t="s">
        <v>107</v>
      </c>
      <c r="C8" s="7" t="s">
        <v>108</v>
      </c>
      <c r="D8" s="15" t="n">
        <v>35</v>
      </c>
      <c r="E8" s="7" t="s">
        <v>109</v>
      </c>
      <c r="F8" s="7" t="s">
        <v>110</v>
      </c>
      <c r="G8" s="15" t="s">
        <v>111</v>
      </c>
      <c r="H8" s="16"/>
      <c r="I8" s="17"/>
      <c r="J8" s="18" t="n">
        <f aca="false">COUNTIF(الاختبارات!$B$2:$B$1000,A8)</f>
        <v>9</v>
      </c>
      <c r="K8" s="18" t="n">
        <f aca="false">COUNTIFS(الاختبارات!$B$2:$B$1000,A8,الاختبارات!$J$2:$J$1000,"نجح")</f>
        <v>0</v>
      </c>
      <c r="L8" s="18" t="n">
        <f aca="false">COUNTIFS(الاختبارات!$B$2:$B$1000,A8,الاختبارات!$J$2:$J$1000,"فشل")</f>
        <v>0</v>
      </c>
      <c r="M8" s="18" t="n">
        <f aca="false">COUNTIFS(الاختبارات!$B$2:$B$1000,A8,الاختبارات!$J$2:$J$1000,"متوقف")</f>
        <v>0</v>
      </c>
      <c r="N8" s="18" t="n">
        <f aca="false">K8+L8</f>
        <v>0</v>
      </c>
      <c r="O8" s="19" t="n">
        <f aca="false">IF(J8=0,0,N8/J8)</f>
        <v>0</v>
      </c>
      <c r="P8" s="20" t="str">
        <f aca="false">IF(H8="","متاح للحجز",IF(N8=J8,"مكتمل","قيد الاختبار"))</f>
        <v>متاح للحجز</v>
      </c>
    </row>
    <row r="9" customFormat="false" ht="48" hidden="false" customHeight="true" outlineLevel="0" collapsed="false">
      <c r="A9" s="14" t="s">
        <v>112</v>
      </c>
      <c r="B9" s="4" t="s">
        <v>113</v>
      </c>
      <c r="C9" s="7" t="s">
        <v>114</v>
      </c>
      <c r="D9" s="15" t="n">
        <v>90</v>
      </c>
      <c r="E9" s="7" t="s">
        <v>115</v>
      </c>
      <c r="F9" s="7" t="s">
        <v>116</v>
      </c>
      <c r="G9" s="15" t="s">
        <v>117</v>
      </c>
      <c r="H9" s="16"/>
      <c r="I9" s="17"/>
      <c r="J9" s="18" t="n">
        <f aca="false">COUNTIF(الاختبارات!$B$2:$B$1000,A9)</f>
        <v>21</v>
      </c>
      <c r="K9" s="18" t="n">
        <f aca="false">COUNTIFS(الاختبارات!$B$2:$B$1000,A9,الاختبارات!$J$2:$J$1000,"نجح")</f>
        <v>0</v>
      </c>
      <c r="L9" s="18" t="n">
        <f aca="false">COUNTIFS(الاختبارات!$B$2:$B$1000,A9,الاختبارات!$J$2:$J$1000,"فشل")</f>
        <v>0</v>
      </c>
      <c r="M9" s="18" t="n">
        <f aca="false">COUNTIFS(الاختبارات!$B$2:$B$1000,A9,الاختبارات!$J$2:$J$1000,"متوقف")</f>
        <v>0</v>
      </c>
      <c r="N9" s="18" t="n">
        <f aca="false">K9+L9</f>
        <v>0</v>
      </c>
      <c r="O9" s="19" t="n">
        <f aca="false">IF(J9=0,0,N9/J9)</f>
        <v>0</v>
      </c>
      <c r="P9" s="20" t="str">
        <f aca="false">IF(H9="","متاح للحجز",IF(N9=J9,"مكتمل","قيد الاختبار"))</f>
        <v>متاح للحجز</v>
      </c>
    </row>
    <row r="10" customFormat="false" ht="48" hidden="false" customHeight="true" outlineLevel="0" collapsed="false">
      <c r="A10" s="14" t="s">
        <v>118</v>
      </c>
      <c r="B10" s="4" t="s">
        <v>119</v>
      </c>
      <c r="C10" s="7" t="s">
        <v>120</v>
      </c>
      <c r="D10" s="15" t="n">
        <v>60</v>
      </c>
      <c r="E10" s="7" t="s">
        <v>115</v>
      </c>
      <c r="F10" s="7" t="s">
        <v>86</v>
      </c>
      <c r="G10" s="15" t="s">
        <v>121</v>
      </c>
      <c r="H10" s="16"/>
      <c r="I10" s="17"/>
      <c r="J10" s="18" t="n">
        <f aca="false">COUNTIF(الاختبارات!$B$2:$B$1000,A10)</f>
        <v>12</v>
      </c>
      <c r="K10" s="18" t="n">
        <f aca="false">COUNTIFS(الاختبارات!$B$2:$B$1000,A10,الاختبارات!$J$2:$J$1000,"نجح")</f>
        <v>0</v>
      </c>
      <c r="L10" s="18" t="n">
        <f aca="false">COUNTIFS(الاختبارات!$B$2:$B$1000,A10,الاختبارات!$J$2:$J$1000,"فشل")</f>
        <v>0</v>
      </c>
      <c r="M10" s="18" t="n">
        <f aca="false">COUNTIFS(الاختبارات!$B$2:$B$1000,A10,الاختبارات!$J$2:$J$1000,"متوقف")</f>
        <v>0</v>
      </c>
      <c r="N10" s="18" t="n">
        <f aca="false">K10+L10</f>
        <v>0</v>
      </c>
      <c r="O10" s="19" t="n">
        <f aca="false">IF(J10=0,0,N10/J10)</f>
        <v>0</v>
      </c>
      <c r="P10" s="20" t="str">
        <f aca="false">IF(H10="","متاح للحجز",IF(N10=J10,"مكتمل","قيد الاختبار"))</f>
        <v>متاح للحجز</v>
      </c>
    </row>
    <row r="11" customFormat="false" ht="48" hidden="false" customHeight="true" outlineLevel="0" collapsed="false">
      <c r="A11" s="14" t="s">
        <v>122</v>
      </c>
      <c r="B11" s="4" t="s">
        <v>123</v>
      </c>
      <c r="C11" s="7" t="s">
        <v>124</v>
      </c>
      <c r="D11" s="15" t="n">
        <v>30</v>
      </c>
      <c r="E11" s="7" t="s">
        <v>115</v>
      </c>
      <c r="F11" s="7" t="s">
        <v>86</v>
      </c>
      <c r="G11" s="15"/>
      <c r="H11" s="16"/>
      <c r="I11" s="17"/>
      <c r="J11" s="18" t="n">
        <f aca="false">COUNTIF(الاختبارات!$B$2:$B$1000,A11)</f>
        <v>6</v>
      </c>
      <c r="K11" s="18" t="n">
        <f aca="false">COUNTIFS(الاختبارات!$B$2:$B$1000,A11,الاختبارات!$J$2:$J$1000,"نجح")</f>
        <v>0</v>
      </c>
      <c r="L11" s="18" t="n">
        <f aca="false">COUNTIFS(الاختبارات!$B$2:$B$1000,A11,الاختبارات!$J$2:$J$1000,"فشل")</f>
        <v>0</v>
      </c>
      <c r="M11" s="18" t="n">
        <f aca="false">COUNTIFS(الاختبارات!$B$2:$B$1000,A11,الاختبارات!$J$2:$J$1000,"متوقف")</f>
        <v>0</v>
      </c>
      <c r="N11" s="18" t="n">
        <f aca="false">K11+L11</f>
        <v>0</v>
      </c>
      <c r="O11" s="19" t="n">
        <f aca="false">IF(J11=0,0,N11/J11)</f>
        <v>0</v>
      </c>
      <c r="P11" s="20" t="str">
        <f aca="false">IF(H11="","متاح للحجز",IF(N11=J11,"مكتمل","قيد الاختبار"))</f>
        <v>متاح للحجز</v>
      </c>
    </row>
    <row r="12" customFormat="false" ht="48" hidden="false" customHeight="true" outlineLevel="0" collapsed="false">
      <c r="A12" s="14" t="s">
        <v>125</v>
      </c>
      <c r="B12" s="4" t="s">
        <v>126</v>
      </c>
      <c r="C12" s="7" t="s">
        <v>127</v>
      </c>
      <c r="D12" s="15" t="n">
        <v>45</v>
      </c>
      <c r="E12" s="7" t="s">
        <v>115</v>
      </c>
      <c r="F12" s="7" t="s">
        <v>128</v>
      </c>
      <c r="G12" s="15"/>
      <c r="H12" s="16"/>
      <c r="I12" s="17"/>
      <c r="J12" s="18" t="n">
        <f aca="false">COUNTIF(الاختبارات!$B$2:$B$1000,A12)</f>
        <v>6</v>
      </c>
      <c r="K12" s="18" t="n">
        <f aca="false">COUNTIFS(الاختبارات!$B$2:$B$1000,A12,الاختبارات!$J$2:$J$1000,"نجح")</f>
        <v>0</v>
      </c>
      <c r="L12" s="18" t="n">
        <f aca="false">COUNTIFS(الاختبارات!$B$2:$B$1000,A12,الاختبارات!$J$2:$J$1000,"فشل")</f>
        <v>0</v>
      </c>
      <c r="M12" s="18" t="n">
        <f aca="false">COUNTIFS(الاختبارات!$B$2:$B$1000,A12,الاختبارات!$J$2:$J$1000,"متوقف")</f>
        <v>0</v>
      </c>
      <c r="N12" s="18" t="n">
        <f aca="false">K12+L12</f>
        <v>0</v>
      </c>
      <c r="O12" s="19" t="n">
        <f aca="false">IF(J12=0,0,N12/J12)</f>
        <v>0</v>
      </c>
      <c r="P12" s="20" t="str">
        <f aca="false">IF(H12="","متاح للحجز",IF(N12=J12,"مكتمل","قيد الاختبار"))</f>
        <v>متاح للحجز</v>
      </c>
    </row>
    <row r="13" customFormat="false" ht="48" hidden="false" customHeight="true" outlineLevel="0" collapsed="false">
      <c r="A13" s="14" t="s">
        <v>129</v>
      </c>
      <c r="B13" s="4" t="s">
        <v>130</v>
      </c>
      <c r="C13" s="7" t="s">
        <v>131</v>
      </c>
      <c r="D13" s="15" t="n">
        <v>45</v>
      </c>
      <c r="E13" s="7" t="s">
        <v>80</v>
      </c>
      <c r="F13" s="7" t="s">
        <v>132</v>
      </c>
      <c r="G13" s="15" t="s">
        <v>133</v>
      </c>
      <c r="H13" s="16"/>
      <c r="I13" s="17"/>
      <c r="J13" s="18" t="n">
        <f aca="false">COUNTIF(الاختبارات!$B$2:$B$1000,A13)</f>
        <v>8</v>
      </c>
      <c r="K13" s="18" t="n">
        <f aca="false">COUNTIFS(الاختبارات!$B$2:$B$1000,A13,الاختبارات!$J$2:$J$1000,"نجح")</f>
        <v>0</v>
      </c>
      <c r="L13" s="18" t="n">
        <f aca="false">COUNTIFS(الاختبارات!$B$2:$B$1000,A13,الاختبارات!$J$2:$J$1000,"فشل")</f>
        <v>0</v>
      </c>
      <c r="M13" s="18" t="n">
        <f aca="false">COUNTIFS(الاختبارات!$B$2:$B$1000,A13,الاختبارات!$J$2:$J$1000,"متوقف")</f>
        <v>0</v>
      </c>
      <c r="N13" s="18" t="n">
        <f aca="false">K13+L13</f>
        <v>0</v>
      </c>
      <c r="O13" s="19" t="n">
        <f aca="false">IF(J13=0,0,N13/J13)</f>
        <v>0</v>
      </c>
      <c r="P13" s="20" t="str">
        <f aca="false">IF(H13="","متاح للحجز",IF(N13=J13,"مكتمل","قيد الاختبار"))</f>
        <v>متاح للحجز</v>
      </c>
    </row>
    <row r="14" customFormat="false" ht="48" hidden="false" customHeight="true" outlineLevel="0" collapsed="false">
      <c r="A14" s="14" t="s">
        <v>134</v>
      </c>
      <c r="B14" s="4" t="s">
        <v>135</v>
      </c>
      <c r="C14" s="7" t="s">
        <v>136</v>
      </c>
      <c r="D14" s="15" t="n">
        <v>45</v>
      </c>
      <c r="E14" s="7" t="s">
        <v>137</v>
      </c>
      <c r="F14" s="7" t="s">
        <v>138</v>
      </c>
      <c r="G14" s="15"/>
      <c r="H14" s="16"/>
      <c r="I14" s="17"/>
      <c r="J14" s="18" t="n">
        <f aca="false">COUNTIF(الاختبارات!$B$2:$B$1000,A14)</f>
        <v>6</v>
      </c>
      <c r="K14" s="18" t="n">
        <f aca="false">COUNTIFS(الاختبارات!$B$2:$B$1000,A14,الاختبارات!$J$2:$J$1000,"نجح")</f>
        <v>0</v>
      </c>
      <c r="L14" s="18" t="n">
        <f aca="false">COUNTIFS(الاختبارات!$B$2:$B$1000,A14,الاختبارات!$J$2:$J$1000,"فشل")</f>
        <v>0</v>
      </c>
      <c r="M14" s="18" t="n">
        <f aca="false">COUNTIFS(الاختبارات!$B$2:$B$1000,A14,الاختبارات!$J$2:$J$1000,"متوقف")</f>
        <v>0</v>
      </c>
      <c r="N14" s="18" t="n">
        <f aca="false">K14+L14</f>
        <v>0</v>
      </c>
      <c r="O14" s="19" t="n">
        <f aca="false">IF(J14=0,0,N14/J14)</f>
        <v>0</v>
      </c>
      <c r="P14" s="20" t="str">
        <f aca="false">IF(H14="","متاح للحجز",IF(N14=J14,"مكتمل","قيد الاختبار"))</f>
        <v>متاح للحجز</v>
      </c>
    </row>
  </sheetData>
  <conditionalFormatting sqref="P2:P14">
    <cfRule type="expression" priority="2" aboveAverage="0" equalAverage="0" bottom="0" percent="0" rank="0" text="" dxfId="3">
      <formula>P2="متاح للحجز"</formula>
    </cfRule>
    <cfRule type="expression" priority="3" aboveAverage="0" equalAverage="0" bottom="0" percent="0" rank="0" text="" dxfId="2">
      <formula>P2="قيد الاختبار"</formula>
    </cfRule>
    <cfRule type="expression" priority="4" aboveAverage="0" equalAverage="0" bottom="0" percent="0" rank="0" text="" dxfId="0">
      <formula>P2="مكتمل"</formula>
    </cfRule>
  </conditionalFormatting>
  <dataValidations count="1">
    <dataValidation allowBlank="true" error="اختر قيمة من القائمة" errorStyle="stop" errorTitle="قيمة غير صالحة" operator="between" prompt="اختر اسمك لحجز هذا القسم" showDropDown="false" showErrorMessage="false" showInputMessage="true" sqref="H2:H14" type="list">
      <formula1>المختبرون!$A$2:$A$41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52"/>
    <col collapsed="false" customWidth="true" hidden="false" outlineLevel="0" max="7" min="7" style="0" width="40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32"/>
    <col collapsed="false" customWidth="true" hidden="false" outlineLevel="0" max="13" min="13" style="0" width="11"/>
  </cols>
  <sheetData>
    <row r="1" customFormat="false" ht="37.5" hidden="false" customHeight="true" outlineLevel="0" collapsed="false">
      <c r="A1" s="13" t="s">
        <v>139</v>
      </c>
      <c r="B1" s="13" t="s">
        <v>65</v>
      </c>
      <c r="C1" s="13" t="s">
        <v>140</v>
      </c>
      <c r="D1" s="13" t="s">
        <v>141</v>
      </c>
      <c r="E1" s="13" t="s">
        <v>69</v>
      </c>
      <c r="F1" s="13" t="s">
        <v>142</v>
      </c>
      <c r="G1" s="13" t="s">
        <v>143</v>
      </c>
      <c r="H1" s="13" t="s">
        <v>144</v>
      </c>
      <c r="I1" s="13" t="s">
        <v>145</v>
      </c>
      <c r="J1" s="13" t="s">
        <v>76</v>
      </c>
      <c r="K1" s="13" t="s">
        <v>146</v>
      </c>
      <c r="L1" s="13" t="s">
        <v>147</v>
      </c>
      <c r="M1" s="13" t="s">
        <v>148</v>
      </c>
    </row>
    <row r="2" customFormat="false" ht="69.75" hidden="false" customHeight="true" outlineLevel="0" collapsed="false">
      <c r="A2" s="21" t="s">
        <v>149</v>
      </c>
      <c r="B2" s="22" t="s">
        <v>77</v>
      </c>
      <c r="C2" s="23" t="str">
        <f aca="false">IFERROR(INDEX(الأقسام!$B$2:$B$14,MATCH(B2,الأقسام!$A$2:$A$14,0)),"")</f>
        <v>التثبيت وأول تشغيل</v>
      </c>
      <c r="D2" s="4" t="s">
        <v>150</v>
      </c>
      <c r="E2" s="24" t="s">
        <v>151</v>
      </c>
      <c r="F2" s="24" t="s">
        <v>152</v>
      </c>
      <c r="G2" s="24" t="s">
        <v>153</v>
      </c>
      <c r="H2" s="25" t="s">
        <v>154</v>
      </c>
      <c r="I2" s="26" t="str">
        <f aca="false">IFERROR(INDEX(الأقسام!$H$2:$H$14,MATCH(B2,الأقسام!$A$2:$A$14,0))&amp;"","")</f>
        <v/>
      </c>
      <c r="J2" s="16" t="s">
        <v>22</v>
      </c>
      <c r="K2" s="17"/>
      <c r="L2" s="5"/>
      <c r="M2" s="16"/>
    </row>
    <row r="3" customFormat="false" ht="85.5" hidden="false" customHeight="true" outlineLevel="0" collapsed="false">
      <c r="A3" s="21" t="s">
        <v>155</v>
      </c>
      <c r="B3" s="22" t="s">
        <v>77</v>
      </c>
      <c r="C3" s="23" t="str">
        <f aca="false">IFERROR(INDEX(الأقسام!$B$2:$B$14,MATCH(B3,الأقسام!$A$2:$A$14,0)),"")</f>
        <v>التثبيت وأول تشغيل</v>
      </c>
      <c r="D3" s="4" t="s">
        <v>156</v>
      </c>
      <c r="E3" s="24" t="s">
        <v>157</v>
      </c>
      <c r="F3" s="24" t="s">
        <v>158</v>
      </c>
      <c r="G3" s="24" t="s">
        <v>159</v>
      </c>
      <c r="H3" s="25" t="s">
        <v>154</v>
      </c>
      <c r="I3" s="26" t="str">
        <f aca="false">IFERROR(INDEX(الأقسام!$H$2:$H$14,MATCH(B3,الأقسام!$A$2:$A$14,0))&amp;"","")</f>
        <v/>
      </c>
      <c r="J3" s="16" t="s">
        <v>22</v>
      </c>
      <c r="K3" s="17"/>
      <c r="L3" s="5"/>
      <c r="M3" s="16"/>
    </row>
    <row r="4" customFormat="false" ht="69.75" hidden="false" customHeight="true" outlineLevel="0" collapsed="false">
      <c r="A4" s="21" t="s">
        <v>160</v>
      </c>
      <c r="B4" s="22" t="s">
        <v>77</v>
      </c>
      <c r="C4" s="23" t="str">
        <f aca="false">IFERROR(INDEX(الأقسام!$B$2:$B$14,MATCH(B4,الأقسام!$A$2:$A$14,0)),"")</f>
        <v>التثبيت وأول تشغيل</v>
      </c>
      <c r="D4" s="4" t="s">
        <v>161</v>
      </c>
      <c r="E4" s="24" t="s">
        <v>157</v>
      </c>
      <c r="F4" s="24" t="s">
        <v>162</v>
      </c>
      <c r="G4" s="24" t="s">
        <v>163</v>
      </c>
      <c r="H4" s="25" t="s">
        <v>154</v>
      </c>
      <c r="I4" s="26" t="str">
        <f aca="false">IFERROR(INDEX(الأقسام!$H$2:$H$14,MATCH(B4,الأقسام!$A$2:$A$14,0))&amp;"","")</f>
        <v/>
      </c>
      <c r="J4" s="16" t="s">
        <v>22</v>
      </c>
      <c r="K4" s="17"/>
      <c r="L4" s="5"/>
      <c r="M4" s="16"/>
    </row>
    <row r="5" customFormat="false" ht="45" hidden="false" customHeight="true" outlineLevel="0" collapsed="false">
      <c r="A5" s="21" t="s">
        <v>164</v>
      </c>
      <c r="B5" s="22" t="s">
        <v>77</v>
      </c>
      <c r="C5" s="23" t="str">
        <f aca="false">IFERROR(INDEX(الأقسام!$B$2:$B$14,MATCH(B5,الأقسام!$A$2:$A$14,0)),"")</f>
        <v>التثبيت وأول تشغيل</v>
      </c>
      <c r="D5" s="4" t="s">
        <v>165</v>
      </c>
      <c r="E5" s="24" t="s">
        <v>166</v>
      </c>
      <c r="F5" s="24" t="s">
        <v>167</v>
      </c>
      <c r="G5" s="24" t="s">
        <v>168</v>
      </c>
      <c r="H5" s="25" t="s">
        <v>154</v>
      </c>
      <c r="I5" s="26" t="str">
        <f aca="false">IFERROR(INDEX(الأقسام!$H$2:$H$14,MATCH(B5,الأقسام!$A$2:$A$14,0))&amp;"","")</f>
        <v/>
      </c>
      <c r="J5" s="16" t="s">
        <v>22</v>
      </c>
      <c r="K5" s="17"/>
      <c r="L5" s="5"/>
      <c r="M5" s="16"/>
    </row>
    <row r="6" customFormat="false" ht="69.75" hidden="false" customHeight="true" outlineLevel="0" collapsed="false">
      <c r="A6" s="21" t="s">
        <v>169</v>
      </c>
      <c r="B6" s="22" t="s">
        <v>77</v>
      </c>
      <c r="C6" s="23" t="str">
        <f aca="false">IFERROR(INDEX(الأقسام!$B$2:$B$14,MATCH(B6,الأقسام!$A$2:$A$14,0)),"")</f>
        <v>التثبيت وأول تشغيل</v>
      </c>
      <c r="D6" s="4" t="s">
        <v>170</v>
      </c>
      <c r="E6" s="24" t="s">
        <v>166</v>
      </c>
      <c r="F6" s="24" t="s">
        <v>171</v>
      </c>
      <c r="G6" s="24" t="s">
        <v>172</v>
      </c>
      <c r="H6" s="22" t="s">
        <v>35</v>
      </c>
      <c r="I6" s="26" t="str">
        <f aca="false">IFERROR(INDEX(الأقسام!$H$2:$H$14,MATCH(B6,الأقسام!$A$2:$A$14,0))&amp;"","")</f>
        <v/>
      </c>
      <c r="J6" s="16" t="s">
        <v>22</v>
      </c>
      <c r="K6" s="17"/>
      <c r="L6" s="5"/>
      <c r="M6" s="16"/>
    </row>
    <row r="7" customFormat="false" ht="45" hidden="false" customHeight="true" outlineLevel="0" collapsed="false">
      <c r="A7" s="21" t="s">
        <v>173</v>
      </c>
      <c r="B7" s="22" t="s">
        <v>77</v>
      </c>
      <c r="C7" s="23" t="str">
        <f aca="false">IFERROR(INDEX(الأقسام!$B$2:$B$14,MATCH(B7,الأقسام!$A$2:$A$14,0)),"")</f>
        <v>التثبيت وأول تشغيل</v>
      </c>
      <c r="D7" s="4" t="s">
        <v>174</v>
      </c>
      <c r="E7" s="24" t="s">
        <v>166</v>
      </c>
      <c r="F7" s="24" t="s">
        <v>175</v>
      </c>
      <c r="G7" s="24" t="s">
        <v>176</v>
      </c>
      <c r="H7" s="25" t="s">
        <v>154</v>
      </c>
      <c r="I7" s="26" t="str">
        <f aca="false">IFERROR(INDEX(الأقسام!$H$2:$H$14,MATCH(B7,الأقسام!$A$2:$A$14,0))&amp;"","")</f>
        <v/>
      </c>
      <c r="J7" s="16" t="s">
        <v>22</v>
      </c>
      <c r="K7" s="17"/>
      <c r="L7" s="5"/>
      <c r="M7" s="16"/>
    </row>
    <row r="8" customFormat="false" ht="85.5" hidden="false" customHeight="true" outlineLevel="0" collapsed="false">
      <c r="A8" s="21" t="s">
        <v>177</v>
      </c>
      <c r="B8" s="22" t="s">
        <v>77</v>
      </c>
      <c r="C8" s="23" t="str">
        <f aca="false">IFERROR(INDEX(الأقسام!$B$2:$B$14,MATCH(B8,الأقسام!$A$2:$A$14,0)),"")</f>
        <v>التثبيت وأول تشغيل</v>
      </c>
      <c r="D8" s="4" t="s">
        <v>178</v>
      </c>
      <c r="E8" s="24" t="s">
        <v>179</v>
      </c>
      <c r="F8" s="24" t="s">
        <v>180</v>
      </c>
      <c r="G8" s="24" t="s">
        <v>181</v>
      </c>
      <c r="H8" s="22" t="s">
        <v>35</v>
      </c>
      <c r="I8" s="26" t="str">
        <f aca="false">IFERROR(INDEX(الأقسام!$H$2:$H$14,MATCH(B8,الأقسام!$A$2:$A$14,0))&amp;"","")</f>
        <v/>
      </c>
      <c r="J8" s="16" t="s">
        <v>22</v>
      </c>
      <c r="K8" s="17"/>
      <c r="L8" s="5"/>
      <c r="M8" s="16"/>
    </row>
    <row r="9" customFormat="false" ht="69.75" hidden="false" customHeight="true" outlineLevel="0" collapsed="false">
      <c r="A9" s="21" t="s">
        <v>182</v>
      </c>
      <c r="B9" s="22" t="s">
        <v>77</v>
      </c>
      <c r="C9" s="23" t="str">
        <f aca="false">IFERROR(INDEX(الأقسام!$B$2:$B$14,MATCH(B9,الأقسام!$A$2:$A$14,0)),"")</f>
        <v>التثبيت وأول تشغيل</v>
      </c>
      <c r="D9" s="4" t="s">
        <v>183</v>
      </c>
      <c r="E9" s="24" t="s">
        <v>184</v>
      </c>
      <c r="F9" s="24" t="s">
        <v>185</v>
      </c>
      <c r="G9" s="24" t="s">
        <v>186</v>
      </c>
      <c r="H9" s="22" t="s">
        <v>35</v>
      </c>
      <c r="I9" s="26" t="str">
        <f aca="false">IFERROR(INDEX(الأقسام!$H$2:$H$14,MATCH(B9,الأقسام!$A$2:$A$14,0))&amp;"","")</f>
        <v/>
      </c>
      <c r="J9" s="16" t="s">
        <v>22</v>
      </c>
      <c r="K9" s="17"/>
      <c r="L9" s="5"/>
      <c r="M9" s="16"/>
    </row>
    <row r="10" customFormat="false" ht="45" hidden="false" customHeight="true" outlineLevel="0" collapsed="false">
      <c r="A10" s="21" t="s">
        <v>187</v>
      </c>
      <c r="B10" s="22" t="s">
        <v>77</v>
      </c>
      <c r="C10" s="23" t="str">
        <f aca="false">IFERROR(INDEX(الأقسام!$B$2:$B$14,MATCH(B10,الأقسام!$A$2:$A$14,0)),"")</f>
        <v>التثبيت وأول تشغيل</v>
      </c>
      <c r="D10" s="4" t="s">
        <v>188</v>
      </c>
      <c r="E10" s="24" t="s">
        <v>184</v>
      </c>
      <c r="F10" s="24" t="s">
        <v>189</v>
      </c>
      <c r="G10" s="24" t="s">
        <v>190</v>
      </c>
      <c r="H10" s="25" t="s">
        <v>154</v>
      </c>
      <c r="I10" s="26" t="str">
        <f aca="false">IFERROR(INDEX(الأقسام!$H$2:$H$14,MATCH(B10,الأقسام!$A$2:$A$14,0))&amp;"","")</f>
        <v/>
      </c>
      <c r="J10" s="16" t="s">
        <v>22</v>
      </c>
      <c r="K10" s="17"/>
      <c r="L10" s="5"/>
      <c r="M10" s="16"/>
    </row>
    <row r="11" customFormat="false" ht="54" hidden="false" customHeight="true" outlineLevel="0" collapsed="false">
      <c r="A11" s="21" t="s">
        <v>191</v>
      </c>
      <c r="B11" s="22" t="s">
        <v>77</v>
      </c>
      <c r="C11" s="23" t="str">
        <f aca="false">IFERROR(INDEX(الأقسام!$B$2:$B$14,MATCH(B11,الأقسام!$A$2:$A$14,0)),"")</f>
        <v>التثبيت وأول تشغيل</v>
      </c>
      <c r="D11" s="4" t="s">
        <v>192</v>
      </c>
      <c r="E11" s="24" t="s">
        <v>193</v>
      </c>
      <c r="F11" s="24" t="s">
        <v>194</v>
      </c>
      <c r="G11" s="24" t="s">
        <v>195</v>
      </c>
      <c r="H11" s="25" t="s">
        <v>154</v>
      </c>
      <c r="I11" s="26" t="str">
        <f aca="false">IFERROR(INDEX(الأقسام!$H$2:$H$14,MATCH(B11,الأقسام!$A$2:$A$14,0))&amp;"","")</f>
        <v/>
      </c>
      <c r="J11" s="16" t="s">
        <v>22</v>
      </c>
      <c r="K11" s="17"/>
      <c r="L11" s="5"/>
      <c r="M11" s="16"/>
    </row>
    <row r="12" customFormat="false" ht="45" hidden="false" customHeight="true" outlineLevel="0" collapsed="false">
      <c r="A12" s="21" t="s">
        <v>196</v>
      </c>
      <c r="B12" s="22" t="s">
        <v>77</v>
      </c>
      <c r="C12" s="23" t="str">
        <f aca="false">IFERROR(INDEX(الأقسام!$B$2:$B$14,MATCH(B12,الأقسام!$A$2:$A$14,0)),"")</f>
        <v>التثبيت وأول تشغيل</v>
      </c>
      <c r="D12" s="4" t="s">
        <v>197</v>
      </c>
      <c r="E12" s="24" t="s">
        <v>184</v>
      </c>
      <c r="F12" s="24" t="s">
        <v>198</v>
      </c>
      <c r="G12" s="24" t="s">
        <v>199</v>
      </c>
      <c r="H12" s="22" t="s">
        <v>200</v>
      </c>
      <c r="I12" s="26" t="str">
        <f aca="false">IFERROR(INDEX(الأقسام!$H$2:$H$14,MATCH(B12,الأقسام!$A$2:$A$14,0))&amp;"","")</f>
        <v/>
      </c>
      <c r="J12" s="16" t="s">
        <v>22</v>
      </c>
      <c r="K12" s="17"/>
      <c r="L12" s="5"/>
      <c r="M12" s="16"/>
    </row>
    <row r="13" customFormat="false" ht="85.5" hidden="false" customHeight="true" outlineLevel="0" collapsed="false">
      <c r="A13" s="21" t="s">
        <v>201</v>
      </c>
      <c r="B13" s="22" t="s">
        <v>83</v>
      </c>
      <c r="C13" s="23" t="str">
        <f aca="false">IFERROR(INDEX(الأقسام!$B$2:$B$14,MATCH(B13,الأقسام!$A$2:$A$14,0)),"")</f>
        <v>الإعدادات والفئات العمرية</v>
      </c>
      <c r="D13" s="4" t="s">
        <v>202</v>
      </c>
      <c r="E13" s="24" t="s">
        <v>203</v>
      </c>
      <c r="F13" s="24" t="s">
        <v>204</v>
      </c>
      <c r="G13" s="24" t="s">
        <v>205</v>
      </c>
      <c r="H13" s="25" t="s">
        <v>154</v>
      </c>
      <c r="I13" s="26" t="str">
        <f aca="false">IFERROR(INDEX(الأقسام!$H$2:$H$14,MATCH(B13,الأقسام!$A$2:$A$14,0))&amp;"","")</f>
        <v/>
      </c>
      <c r="J13" s="16" t="s">
        <v>22</v>
      </c>
      <c r="K13" s="17"/>
      <c r="L13" s="5"/>
      <c r="M13" s="16"/>
    </row>
    <row r="14" customFormat="false" ht="69.75" hidden="false" customHeight="true" outlineLevel="0" collapsed="false">
      <c r="A14" s="21" t="s">
        <v>206</v>
      </c>
      <c r="B14" s="22" t="s">
        <v>83</v>
      </c>
      <c r="C14" s="23" t="str">
        <f aca="false">IFERROR(INDEX(الأقسام!$B$2:$B$14,MATCH(B14,الأقسام!$A$2:$A$14,0)),"")</f>
        <v>الإعدادات والفئات العمرية</v>
      </c>
      <c r="D14" s="4" t="s">
        <v>207</v>
      </c>
      <c r="E14" s="24" t="s">
        <v>208</v>
      </c>
      <c r="F14" s="24" t="s">
        <v>209</v>
      </c>
      <c r="G14" s="24" t="s">
        <v>210</v>
      </c>
      <c r="H14" s="22" t="s">
        <v>35</v>
      </c>
      <c r="I14" s="26" t="str">
        <f aca="false">IFERROR(INDEX(الأقسام!$H$2:$H$14,MATCH(B14,الأقسام!$A$2:$A$14,0))&amp;"","")</f>
        <v/>
      </c>
      <c r="J14" s="16" t="s">
        <v>22</v>
      </c>
      <c r="K14" s="17"/>
      <c r="L14" s="5"/>
      <c r="M14" s="16"/>
    </row>
    <row r="15" customFormat="false" ht="45" hidden="false" customHeight="true" outlineLevel="0" collapsed="false">
      <c r="A15" s="21" t="s">
        <v>211</v>
      </c>
      <c r="B15" s="22" t="s">
        <v>83</v>
      </c>
      <c r="C15" s="23" t="str">
        <f aca="false">IFERROR(INDEX(الأقسام!$B$2:$B$14,MATCH(B15,الأقسام!$A$2:$A$14,0)),"")</f>
        <v>الإعدادات والفئات العمرية</v>
      </c>
      <c r="D15" s="4" t="s">
        <v>212</v>
      </c>
      <c r="E15" s="24" t="s">
        <v>213</v>
      </c>
      <c r="F15" s="24" t="s">
        <v>214</v>
      </c>
      <c r="G15" s="24" t="s">
        <v>215</v>
      </c>
      <c r="H15" s="22" t="s">
        <v>200</v>
      </c>
      <c r="I15" s="26" t="str">
        <f aca="false">IFERROR(INDEX(الأقسام!$H$2:$H$14,MATCH(B15,الأقسام!$A$2:$A$14,0))&amp;"","")</f>
        <v/>
      </c>
      <c r="J15" s="16" t="s">
        <v>22</v>
      </c>
      <c r="K15" s="17"/>
      <c r="L15" s="5"/>
      <c r="M15" s="16"/>
    </row>
    <row r="16" customFormat="false" ht="54" hidden="false" customHeight="true" outlineLevel="0" collapsed="false">
      <c r="A16" s="21" t="s">
        <v>216</v>
      </c>
      <c r="B16" s="22" t="s">
        <v>83</v>
      </c>
      <c r="C16" s="23" t="str">
        <f aca="false">IFERROR(INDEX(الأقسام!$B$2:$B$14,MATCH(B16,الأقسام!$A$2:$A$14,0)),"")</f>
        <v>الإعدادات والفئات العمرية</v>
      </c>
      <c r="D16" s="4" t="s">
        <v>217</v>
      </c>
      <c r="E16" s="24" t="s">
        <v>203</v>
      </c>
      <c r="F16" s="24" t="s">
        <v>218</v>
      </c>
      <c r="G16" s="24" t="s">
        <v>219</v>
      </c>
      <c r="H16" s="25" t="s">
        <v>154</v>
      </c>
      <c r="I16" s="26" t="str">
        <f aca="false">IFERROR(INDEX(الأقسام!$H$2:$H$14,MATCH(B16,الأقسام!$A$2:$A$14,0))&amp;"","")</f>
        <v/>
      </c>
      <c r="J16" s="16" t="s">
        <v>22</v>
      </c>
      <c r="K16" s="17"/>
      <c r="L16" s="5"/>
      <c r="M16" s="16"/>
    </row>
    <row r="17" customFormat="false" ht="54" hidden="false" customHeight="true" outlineLevel="0" collapsed="false">
      <c r="A17" s="21" t="s">
        <v>220</v>
      </c>
      <c r="B17" s="22" t="s">
        <v>83</v>
      </c>
      <c r="C17" s="23" t="str">
        <f aca="false">IFERROR(INDEX(الأقسام!$B$2:$B$14,MATCH(B17,الأقسام!$A$2:$A$14,0)),"")</f>
        <v>الإعدادات والفئات العمرية</v>
      </c>
      <c r="D17" s="4" t="s">
        <v>221</v>
      </c>
      <c r="E17" s="24"/>
      <c r="F17" s="24" t="s">
        <v>222</v>
      </c>
      <c r="G17" s="24" t="s">
        <v>223</v>
      </c>
      <c r="H17" s="22" t="s">
        <v>35</v>
      </c>
      <c r="I17" s="26" t="str">
        <f aca="false">IFERROR(INDEX(الأقسام!$H$2:$H$14,MATCH(B17,الأقسام!$A$2:$A$14,0))&amp;"","")</f>
        <v/>
      </c>
      <c r="J17" s="16" t="s">
        <v>22</v>
      </c>
      <c r="K17" s="17"/>
      <c r="L17" s="5"/>
      <c r="M17" s="16"/>
    </row>
    <row r="18" customFormat="false" ht="100.5" hidden="false" customHeight="true" outlineLevel="0" collapsed="false">
      <c r="A18" s="21" t="s">
        <v>224</v>
      </c>
      <c r="B18" s="22" t="s">
        <v>83</v>
      </c>
      <c r="C18" s="23" t="str">
        <f aca="false">IFERROR(INDEX(الأقسام!$B$2:$B$14,MATCH(B18,الأقسام!$A$2:$A$14,0)),"")</f>
        <v>الإعدادات والفئات العمرية</v>
      </c>
      <c r="D18" s="4" t="s">
        <v>225</v>
      </c>
      <c r="E18" s="24"/>
      <c r="F18" s="24" t="s">
        <v>226</v>
      </c>
      <c r="G18" s="24" t="s">
        <v>227</v>
      </c>
      <c r="H18" s="22" t="s">
        <v>35</v>
      </c>
      <c r="I18" s="26" t="str">
        <f aca="false">IFERROR(INDEX(الأقسام!$H$2:$H$14,MATCH(B18,الأقسام!$A$2:$A$14,0))&amp;"","")</f>
        <v/>
      </c>
      <c r="J18" s="16" t="s">
        <v>22</v>
      </c>
      <c r="K18" s="17"/>
      <c r="L18" s="5"/>
      <c r="M18" s="16"/>
    </row>
    <row r="19" customFormat="false" ht="54" hidden="false" customHeight="true" outlineLevel="0" collapsed="false">
      <c r="A19" s="21" t="s">
        <v>228</v>
      </c>
      <c r="B19" s="22" t="s">
        <v>83</v>
      </c>
      <c r="C19" s="23" t="str">
        <f aca="false">IFERROR(INDEX(الأقسام!$B$2:$B$14,MATCH(B19,الأقسام!$A$2:$A$14,0)),"")</f>
        <v>الإعدادات والفئات العمرية</v>
      </c>
      <c r="D19" s="4" t="s">
        <v>229</v>
      </c>
      <c r="E19" s="24"/>
      <c r="F19" s="24" t="s">
        <v>230</v>
      </c>
      <c r="G19" s="24" t="s">
        <v>231</v>
      </c>
      <c r="H19" s="22" t="s">
        <v>35</v>
      </c>
      <c r="I19" s="26" t="str">
        <f aca="false">IFERROR(INDEX(الأقسام!$H$2:$H$14,MATCH(B19,الأقسام!$A$2:$A$14,0))&amp;"","")</f>
        <v/>
      </c>
      <c r="J19" s="16" t="s">
        <v>22</v>
      </c>
      <c r="K19" s="17"/>
      <c r="L19" s="5"/>
      <c r="M19" s="16"/>
    </row>
    <row r="20" customFormat="false" ht="85.5" hidden="false" customHeight="true" outlineLevel="0" collapsed="false">
      <c r="A20" s="21" t="s">
        <v>232</v>
      </c>
      <c r="B20" s="22" t="s">
        <v>83</v>
      </c>
      <c r="C20" s="23" t="str">
        <f aca="false">IFERROR(INDEX(الأقسام!$B$2:$B$14,MATCH(B20,الأقسام!$A$2:$A$14,0)),"")</f>
        <v>الإعدادات والفئات العمرية</v>
      </c>
      <c r="D20" s="4" t="s">
        <v>233</v>
      </c>
      <c r="E20" s="24"/>
      <c r="F20" s="24" t="s">
        <v>234</v>
      </c>
      <c r="G20" s="24" t="s">
        <v>235</v>
      </c>
      <c r="H20" s="25" t="s">
        <v>154</v>
      </c>
      <c r="I20" s="26" t="str">
        <f aca="false">IFERROR(INDEX(الأقسام!$H$2:$H$14,MATCH(B20,الأقسام!$A$2:$A$14,0))&amp;"","")</f>
        <v/>
      </c>
      <c r="J20" s="16" t="s">
        <v>22</v>
      </c>
      <c r="K20" s="17"/>
      <c r="L20" s="5"/>
      <c r="M20" s="16"/>
    </row>
    <row r="21" customFormat="false" ht="45" hidden="false" customHeight="true" outlineLevel="0" collapsed="false">
      <c r="A21" s="21" t="s">
        <v>236</v>
      </c>
      <c r="B21" s="22" t="s">
        <v>83</v>
      </c>
      <c r="C21" s="23" t="str">
        <f aca="false">IFERROR(INDEX(الأقسام!$B$2:$B$14,MATCH(B21,الأقسام!$A$2:$A$14,0)),"")</f>
        <v>الإعدادات والفئات العمرية</v>
      </c>
      <c r="D21" s="4" t="s">
        <v>237</v>
      </c>
      <c r="E21" s="24"/>
      <c r="F21" s="24" t="s">
        <v>238</v>
      </c>
      <c r="G21" s="24" t="s">
        <v>239</v>
      </c>
      <c r="H21" s="22" t="s">
        <v>35</v>
      </c>
      <c r="I21" s="26" t="str">
        <f aca="false">IFERROR(INDEX(الأقسام!$H$2:$H$14,MATCH(B21,الأقسام!$A$2:$A$14,0))&amp;"","")</f>
        <v/>
      </c>
      <c r="J21" s="16" t="s">
        <v>22</v>
      </c>
      <c r="K21" s="17"/>
      <c r="L21" s="5"/>
      <c r="M21" s="16"/>
    </row>
    <row r="22" customFormat="false" ht="54" hidden="false" customHeight="true" outlineLevel="0" collapsed="false">
      <c r="A22" s="21" t="s">
        <v>240</v>
      </c>
      <c r="B22" s="22" t="s">
        <v>83</v>
      </c>
      <c r="C22" s="23" t="str">
        <f aca="false">IFERROR(INDEX(الأقسام!$B$2:$B$14,MATCH(B22,الأقسام!$A$2:$A$14,0)),"")</f>
        <v>الإعدادات والفئات العمرية</v>
      </c>
      <c r="D22" s="4" t="s">
        <v>241</v>
      </c>
      <c r="E22" s="24" t="s">
        <v>242</v>
      </c>
      <c r="F22" s="24" t="s">
        <v>243</v>
      </c>
      <c r="G22" s="24" t="s">
        <v>244</v>
      </c>
      <c r="H22" s="22" t="s">
        <v>35</v>
      </c>
      <c r="I22" s="26" t="str">
        <f aca="false">IFERROR(INDEX(الأقسام!$H$2:$H$14,MATCH(B22,الأقسام!$A$2:$A$14,0))&amp;"","")</f>
        <v/>
      </c>
      <c r="J22" s="16" t="s">
        <v>22</v>
      </c>
      <c r="K22" s="17"/>
      <c r="L22" s="5"/>
      <c r="M22" s="16"/>
    </row>
    <row r="23" customFormat="false" ht="45" hidden="false" customHeight="true" outlineLevel="0" collapsed="false">
      <c r="A23" s="21" t="s">
        <v>245</v>
      </c>
      <c r="B23" s="22" t="s">
        <v>83</v>
      </c>
      <c r="C23" s="23" t="str">
        <f aca="false">IFERROR(INDEX(الأقسام!$B$2:$B$14,MATCH(B23,الأقسام!$A$2:$A$14,0)),"")</f>
        <v>الإعدادات والفئات العمرية</v>
      </c>
      <c r="D23" s="4" t="s">
        <v>246</v>
      </c>
      <c r="E23" s="24" t="s">
        <v>247</v>
      </c>
      <c r="F23" s="24" t="s">
        <v>248</v>
      </c>
      <c r="G23" s="24" t="s">
        <v>249</v>
      </c>
      <c r="H23" s="22" t="s">
        <v>200</v>
      </c>
      <c r="I23" s="26" t="str">
        <f aca="false">IFERROR(INDEX(الأقسام!$H$2:$H$14,MATCH(B23,الأقسام!$A$2:$A$14,0))&amp;"","")</f>
        <v/>
      </c>
      <c r="J23" s="16" t="s">
        <v>22</v>
      </c>
      <c r="K23" s="17"/>
      <c r="L23" s="5"/>
      <c r="M23" s="16"/>
    </row>
    <row r="24" customFormat="false" ht="85.5" hidden="false" customHeight="true" outlineLevel="0" collapsed="false">
      <c r="A24" s="21" t="s">
        <v>250</v>
      </c>
      <c r="B24" s="22" t="s">
        <v>88</v>
      </c>
      <c r="C24" s="23" t="str">
        <f aca="false">IFERROR(INDEX(الأقسام!$B$2:$B$14,MATCH(B24,الأقسام!$A$2:$A$14,0)),"")</f>
        <v>المستخدمون والصلاحيات</v>
      </c>
      <c r="D24" s="4" t="s">
        <v>251</v>
      </c>
      <c r="E24" s="24" t="s">
        <v>252</v>
      </c>
      <c r="F24" s="24" t="s">
        <v>253</v>
      </c>
      <c r="G24" s="24" t="s">
        <v>254</v>
      </c>
      <c r="H24" s="25" t="s">
        <v>154</v>
      </c>
      <c r="I24" s="26" t="str">
        <f aca="false">IFERROR(INDEX(الأقسام!$H$2:$H$14,MATCH(B24,الأقسام!$A$2:$A$14,0))&amp;"","")</f>
        <v/>
      </c>
      <c r="J24" s="16" t="s">
        <v>22</v>
      </c>
      <c r="K24" s="17"/>
      <c r="L24" s="5"/>
      <c r="M24" s="16"/>
    </row>
    <row r="25" customFormat="false" ht="45" hidden="false" customHeight="true" outlineLevel="0" collapsed="false">
      <c r="A25" s="21" t="s">
        <v>255</v>
      </c>
      <c r="B25" s="22" t="s">
        <v>88</v>
      </c>
      <c r="C25" s="23" t="str">
        <f aca="false">IFERROR(INDEX(الأقسام!$B$2:$B$14,MATCH(B25,الأقسام!$A$2:$A$14,0)),"")</f>
        <v>المستخدمون والصلاحيات</v>
      </c>
      <c r="D25" s="4" t="s">
        <v>256</v>
      </c>
      <c r="E25" s="24"/>
      <c r="F25" s="24" t="s">
        <v>257</v>
      </c>
      <c r="G25" s="24" t="s">
        <v>258</v>
      </c>
      <c r="H25" s="25" t="s">
        <v>154</v>
      </c>
      <c r="I25" s="26" t="str">
        <f aca="false">IFERROR(INDEX(الأقسام!$H$2:$H$14,MATCH(B25,الأقسام!$A$2:$A$14,0))&amp;"","")</f>
        <v/>
      </c>
      <c r="J25" s="16" t="s">
        <v>22</v>
      </c>
      <c r="K25" s="17"/>
      <c r="L25" s="5"/>
      <c r="M25" s="16"/>
    </row>
    <row r="26" customFormat="false" ht="85.5" hidden="false" customHeight="true" outlineLevel="0" collapsed="false">
      <c r="A26" s="21" t="s">
        <v>259</v>
      </c>
      <c r="B26" s="22" t="s">
        <v>88</v>
      </c>
      <c r="C26" s="23" t="str">
        <f aca="false">IFERROR(INDEX(الأقسام!$B$2:$B$14,MATCH(B26,الأقسام!$A$2:$A$14,0)),"")</f>
        <v>المستخدمون والصلاحيات</v>
      </c>
      <c r="D26" s="4" t="s">
        <v>260</v>
      </c>
      <c r="E26" s="24"/>
      <c r="F26" s="24" t="s">
        <v>261</v>
      </c>
      <c r="G26" s="24" t="s">
        <v>262</v>
      </c>
      <c r="H26" s="22" t="s">
        <v>35</v>
      </c>
      <c r="I26" s="26" t="str">
        <f aca="false">IFERROR(INDEX(الأقسام!$H$2:$H$14,MATCH(B26,الأقسام!$A$2:$A$14,0))&amp;"","")</f>
        <v/>
      </c>
      <c r="J26" s="16" t="s">
        <v>22</v>
      </c>
      <c r="K26" s="17"/>
      <c r="L26" s="5"/>
      <c r="M26" s="16"/>
    </row>
    <row r="27" customFormat="false" ht="69.75" hidden="false" customHeight="true" outlineLevel="0" collapsed="false">
      <c r="A27" s="21" t="s">
        <v>263</v>
      </c>
      <c r="B27" s="22" t="s">
        <v>88</v>
      </c>
      <c r="C27" s="23" t="str">
        <f aca="false">IFERROR(INDEX(الأقسام!$B$2:$B$14,MATCH(B27,الأقسام!$A$2:$A$14,0)),"")</f>
        <v>المستخدمون والصلاحيات</v>
      </c>
      <c r="D27" s="4" t="s">
        <v>264</v>
      </c>
      <c r="E27" s="24" t="s">
        <v>265</v>
      </c>
      <c r="F27" s="24" t="s">
        <v>266</v>
      </c>
      <c r="G27" s="24" t="s">
        <v>267</v>
      </c>
      <c r="H27" s="25" t="s">
        <v>154</v>
      </c>
      <c r="I27" s="26" t="str">
        <f aca="false">IFERROR(INDEX(الأقسام!$H$2:$H$14,MATCH(B27,الأقسام!$A$2:$A$14,0))&amp;"","")</f>
        <v/>
      </c>
      <c r="J27" s="16" t="s">
        <v>22</v>
      </c>
      <c r="K27" s="17"/>
      <c r="L27" s="5"/>
      <c r="M27" s="16"/>
    </row>
    <row r="28" customFormat="false" ht="69.75" hidden="false" customHeight="true" outlineLevel="0" collapsed="false">
      <c r="A28" s="21" t="s">
        <v>268</v>
      </c>
      <c r="B28" s="22" t="s">
        <v>88</v>
      </c>
      <c r="C28" s="23" t="str">
        <f aca="false">IFERROR(INDEX(الأقسام!$B$2:$B$14,MATCH(B28,الأقسام!$A$2:$A$14,0)),"")</f>
        <v>المستخدمون والصلاحيات</v>
      </c>
      <c r="D28" s="4" t="s">
        <v>269</v>
      </c>
      <c r="E28" s="24" t="s">
        <v>265</v>
      </c>
      <c r="F28" s="24" t="s">
        <v>270</v>
      </c>
      <c r="G28" s="24" t="s">
        <v>271</v>
      </c>
      <c r="H28" s="25" t="s">
        <v>154</v>
      </c>
      <c r="I28" s="26" t="str">
        <f aca="false">IFERROR(INDEX(الأقسام!$H$2:$H$14,MATCH(B28,الأقسام!$A$2:$A$14,0))&amp;"","")</f>
        <v/>
      </c>
      <c r="J28" s="16" t="s">
        <v>22</v>
      </c>
      <c r="K28" s="17"/>
      <c r="L28" s="5"/>
      <c r="M28" s="16"/>
    </row>
    <row r="29" customFormat="false" ht="54" hidden="false" customHeight="true" outlineLevel="0" collapsed="false">
      <c r="A29" s="21" t="s">
        <v>272</v>
      </c>
      <c r="B29" s="22" t="s">
        <v>88</v>
      </c>
      <c r="C29" s="23" t="str">
        <f aca="false">IFERROR(INDEX(الأقسام!$B$2:$B$14,MATCH(B29,الأقسام!$A$2:$A$14,0)),"")</f>
        <v>المستخدمون والصلاحيات</v>
      </c>
      <c r="D29" s="4" t="s">
        <v>273</v>
      </c>
      <c r="E29" s="24" t="s">
        <v>265</v>
      </c>
      <c r="F29" s="24" t="s">
        <v>274</v>
      </c>
      <c r="G29" s="24" t="s">
        <v>275</v>
      </c>
      <c r="H29" s="25" t="s">
        <v>154</v>
      </c>
      <c r="I29" s="26" t="str">
        <f aca="false">IFERROR(INDEX(الأقسام!$H$2:$H$14,MATCH(B29,الأقسام!$A$2:$A$14,0))&amp;"","")</f>
        <v/>
      </c>
      <c r="J29" s="16" t="s">
        <v>22</v>
      </c>
      <c r="K29" s="17"/>
      <c r="L29" s="5"/>
      <c r="M29" s="16"/>
    </row>
    <row r="30" customFormat="false" ht="69.75" hidden="false" customHeight="true" outlineLevel="0" collapsed="false">
      <c r="A30" s="21" t="s">
        <v>276</v>
      </c>
      <c r="B30" s="22" t="s">
        <v>88</v>
      </c>
      <c r="C30" s="23" t="str">
        <f aca="false">IFERROR(INDEX(الأقسام!$B$2:$B$14,MATCH(B30,الأقسام!$A$2:$A$14,0)),"")</f>
        <v>المستخدمون والصلاحيات</v>
      </c>
      <c r="D30" s="4" t="s">
        <v>277</v>
      </c>
      <c r="E30" s="24" t="s">
        <v>278</v>
      </c>
      <c r="F30" s="24" t="s">
        <v>279</v>
      </c>
      <c r="G30" s="24" t="s">
        <v>280</v>
      </c>
      <c r="H30" s="22" t="s">
        <v>35</v>
      </c>
      <c r="I30" s="26" t="str">
        <f aca="false">IFERROR(INDEX(الأقسام!$H$2:$H$14,MATCH(B30,الأقسام!$A$2:$A$14,0))&amp;"","")</f>
        <v/>
      </c>
      <c r="J30" s="16" t="s">
        <v>22</v>
      </c>
      <c r="K30" s="17"/>
      <c r="L30" s="5"/>
      <c r="M30" s="16"/>
    </row>
    <row r="31" customFormat="false" ht="54" hidden="false" customHeight="true" outlineLevel="0" collapsed="false">
      <c r="A31" s="21" t="s">
        <v>281</v>
      </c>
      <c r="B31" s="22" t="s">
        <v>88</v>
      </c>
      <c r="C31" s="23" t="str">
        <f aca="false">IFERROR(INDEX(الأقسام!$B$2:$B$14,MATCH(B31,الأقسام!$A$2:$A$14,0)),"")</f>
        <v>المستخدمون والصلاحيات</v>
      </c>
      <c r="D31" s="4" t="s">
        <v>282</v>
      </c>
      <c r="E31" s="24" t="s">
        <v>278</v>
      </c>
      <c r="F31" s="24" t="s">
        <v>283</v>
      </c>
      <c r="G31" s="24" t="s">
        <v>284</v>
      </c>
      <c r="H31" s="25" t="s">
        <v>154</v>
      </c>
      <c r="I31" s="26" t="str">
        <f aca="false">IFERROR(INDEX(الأقسام!$H$2:$H$14,MATCH(B31,الأقسام!$A$2:$A$14,0))&amp;"","")</f>
        <v/>
      </c>
      <c r="J31" s="16" t="s">
        <v>22</v>
      </c>
      <c r="K31" s="17"/>
      <c r="L31" s="5"/>
      <c r="M31" s="16"/>
    </row>
    <row r="32" customFormat="false" ht="45" hidden="false" customHeight="true" outlineLevel="0" collapsed="false">
      <c r="A32" s="21" t="s">
        <v>285</v>
      </c>
      <c r="B32" s="22" t="s">
        <v>88</v>
      </c>
      <c r="C32" s="23" t="str">
        <f aca="false">IFERROR(INDEX(الأقسام!$B$2:$B$14,MATCH(B32,الأقسام!$A$2:$A$14,0)),"")</f>
        <v>المستخدمون والصلاحيات</v>
      </c>
      <c r="D32" s="4" t="s">
        <v>286</v>
      </c>
      <c r="E32" s="24" t="s">
        <v>287</v>
      </c>
      <c r="F32" s="24" t="s">
        <v>288</v>
      </c>
      <c r="G32" s="24" t="s">
        <v>289</v>
      </c>
      <c r="H32" s="22" t="s">
        <v>35</v>
      </c>
      <c r="I32" s="26" t="str">
        <f aca="false">IFERROR(INDEX(الأقسام!$H$2:$H$14,MATCH(B32,الأقسام!$A$2:$A$14,0))&amp;"","")</f>
        <v/>
      </c>
      <c r="J32" s="16" t="s">
        <v>22</v>
      </c>
      <c r="K32" s="17"/>
      <c r="L32" s="5"/>
      <c r="M32" s="16"/>
    </row>
    <row r="33" customFormat="false" ht="45" hidden="false" customHeight="true" outlineLevel="0" collapsed="false">
      <c r="A33" s="21" t="s">
        <v>290</v>
      </c>
      <c r="B33" s="22" t="s">
        <v>88</v>
      </c>
      <c r="C33" s="23" t="str">
        <f aca="false">IFERROR(INDEX(الأقسام!$B$2:$B$14,MATCH(B33,الأقسام!$A$2:$A$14,0)),"")</f>
        <v>المستخدمون والصلاحيات</v>
      </c>
      <c r="D33" s="4" t="s">
        <v>291</v>
      </c>
      <c r="E33" s="24" t="s">
        <v>292</v>
      </c>
      <c r="F33" s="24" t="s">
        <v>293</v>
      </c>
      <c r="G33" s="24" t="s">
        <v>294</v>
      </c>
      <c r="H33" s="22" t="s">
        <v>200</v>
      </c>
      <c r="I33" s="26" t="str">
        <f aca="false">IFERROR(INDEX(الأقسام!$H$2:$H$14,MATCH(B33,الأقسام!$A$2:$A$14,0))&amp;"","")</f>
        <v/>
      </c>
      <c r="J33" s="16" t="s">
        <v>22</v>
      </c>
      <c r="K33" s="17"/>
      <c r="L33" s="5"/>
      <c r="M33" s="16"/>
    </row>
    <row r="34" customFormat="false" ht="54" hidden="false" customHeight="true" outlineLevel="0" collapsed="false">
      <c r="A34" s="21" t="s">
        <v>295</v>
      </c>
      <c r="B34" s="22" t="s">
        <v>88</v>
      </c>
      <c r="C34" s="23" t="str">
        <f aca="false">IFERROR(INDEX(الأقسام!$B$2:$B$14,MATCH(B34,الأقسام!$A$2:$A$14,0)),"")</f>
        <v>المستخدمون والصلاحيات</v>
      </c>
      <c r="D34" s="4" t="s">
        <v>296</v>
      </c>
      <c r="E34" s="24" t="s">
        <v>184</v>
      </c>
      <c r="F34" s="24" t="s">
        <v>297</v>
      </c>
      <c r="G34" s="24" t="s">
        <v>298</v>
      </c>
      <c r="H34" s="22" t="s">
        <v>35</v>
      </c>
      <c r="I34" s="26" t="str">
        <f aca="false">IFERROR(INDEX(الأقسام!$H$2:$H$14,MATCH(B34,الأقسام!$A$2:$A$14,0))&amp;"","")</f>
        <v/>
      </c>
      <c r="J34" s="16" t="s">
        <v>22</v>
      </c>
      <c r="K34" s="17"/>
      <c r="L34" s="5"/>
      <c r="M34" s="16"/>
    </row>
    <row r="35" customFormat="false" ht="69.75" hidden="false" customHeight="true" outlineLevel="0" collapsed="false">
      <c r="A35" s="21" t="s">
        <v>299</v>
      </c>
      <c r="B35" s="22" t="s">
        <v>88</v>
      </c>
      <c r="C35" s="23" t="str">
        <f aca="false">IFERROR(INDEX(الأقسام!$B$2:$B$14,MATCH(B35,الأقسام!$A$2:$A$14,0)),"")</f>
        <v>المستخدمون والصلاحيات</v>
      </c>
      <c r="D35" s="4" t="s">
        <v>300</v>
      </c>
      <c r="E35" s="24" t="s">
        <v>184</v>
      </c>
      <c r="F35" s="24" t="s">
        <v>301</v>
      </c>
      <c r="G35" s="24" t="s">
        <v>302</v>
      </c>
      <c r="H35" s="25" t="s">
        <v>154</v>
      </c>
      <c r="I35" s="26" t="str">
        <f aca="false">IFERROR(INDEX(الأقسام!$H$2:$H$14,MATCH(B35,الأقسام!$A$2:$A$14,0))&amp;"","")</f>
        <v/>
      </c>
      <c r="J35" s="16" t="s">
        <v>22</v>
      </c>
      <c r="K35" s="17"/>
      <c r="L35" s="5"/>
      <c r="M35" s="16"/>
    </row>
    <row r="36" customFormat="false" ht="69.75" hidden="false" customHeight="true" outlineLevel="0" collapsed="false">
      <c r="A36" s="21" t="s">
        <v>303</v>
      </c>
      <c r="B36" s="22" t="s">
        <v>88</v>
      </c>
      <c r="C36" s="23" t="str">
        <f aca="false">IFERROR(INDEX(الأقسام!$B$2:$B$14,MATCH(B36,الأقسام!$A$2:$A$14,0)),"")</f>
        <v>المستخدمون والصلاحيات</v>
      </c>
      <c r="D36" s="4" t="s">
        <v>304</v>
      </c>
      <c r="E36" s="24" t="s">
        <v>305</v>
      </c>
      <c r="F36" s="24" t="s">
        <v>306</v>
      </c>
      <c r="G36" s="24" t="s">
        <v>307</v>
      </c>
      <c r="H36" s="22" t="s">
        <v>200</v>
      </c>
      <c r="I36" s="26" t="str">
        <f aca="false">IFERROR(INDEX(الأقسام!$H$2:$H$14,MATCH(B36,الأقسام!$A$2:$A$14,0))&amp;"","")</f>
        <v/>
      </c>
      <c r="J36" s="16" t="s">
        <v>22</v>
      </c>
      <c r="K36" s="17"/>
      <c r="L36" s="5"/>
      <c r="M36" s="16"/>
    </row>
    <row r="37" customFormat="false" ht="54" hidden="false" customHeight="true" outlineLevel="0" collapsed="false">
      <c r="A37" s="21" t="s">
        <v>308</v>
      </c>
      <c r="B37" s="22" t="s">
        <v>92</v>
      </c>
      <c r="C37" s="23" t="str">
        <f aca="false">IFERROR(INDEX(الأقسام!$B$2:$B$14,MATCH(B37,الأقسام!$A$2:$A$14,0)),"")</f>
        <v>المعلمون</v>
      </c>
      <c r="D37" s="4" t="s">
        <v>309</v>
      </c>
      <c r="E37" s="24" t="s">
        <v>203</v>
      </c>
      <c r="F37" s="24" t="s">
        <v>310</v>
      </c>
      <c r="G37" s="24" t="s">
        <v>311</v>
      </c>
      <c r="H37" s="25" t="s">
        <v>154</v>
      </c>
      <c r="I37" s="26" t="str">
        <f aca="false">IFERROR(INDEX(الأقسام!$H$2:$H$14,MATCH(B37,الأقسام!$A$2:$A$14,0))&amp;"","")</f>
        <v/>
      </c>
      <c r="J37" s="16" t="s">
        <v>22</v>
      </c>
      <c r="K37" s="17"/>
      <c r="L37" s="5"/>
      <c r="M37" s="16"/>
    </row>
    <row r="38" customFormat="false" ht="69.75" hidden="false" customHeight="true" outlineLevel="0" collapsed="false">
      <c r="A38" s="21" t="s">
        <v>312</v>
      </c>
      <c r="B38" s="22" t="s">
        <v>92</v>
      </c>
      <c r="C38" s="23" t="str">
        <f aca="false">IFERROR(INDEX(الأقسام!$B$2:$B$14,MATCH(B38,الأقسام!$A$2:$A$14,0)),"")</f>
        <v>المعلمون</v>
      </c>
      <c r="D38" s="4" t="s">
        <v>313</v>
      </c>
      <c r="E38" s="24"/>
      <c r="F38" s="24" t="s">
        <v>314</v>
      </c>
      <c r="G38" s="24" t="s">
        <v>315</v>
      </c>
      <c r="H38" s="25" t="s">
        <v>154</v>
      </c>
      <c r="I38" s="26" t="str">
        <f aca="false">IFERROR(INDEX(الأقسام!$H$2:$H$14,MATCH(B38,الأقسام!$A$2:$A$14,0))&amp;"","")</f>
        <v/>
      </c>
      <c r="J38" s="16" t="s">
        <v>22</v>
      </c>
      <c r="K38" s="17"/>
      <c r="L38" s="5"/>
      <c r="M38" s="16"/>
    </row>
    <row r="39" customFormat="false" ht="54" hidden="false" customHeight="true" outlineLevel="0" collapsed="false">
      <c r="A39" s="21" t="s">
        <v>316</v>
      </c>
      <c r="B39" s="22" t="s">
        <v>92</v>
      </c>
      <c r="C39" s="23" t="str">
        <f aca="false">IFERROR(INDEX(الأقسام!$B$2:$B$14,MATCH(B39,الأقسام!$A$2:$A$14,0)),"")</f>
        <v>المعلمون</v>
      </c>
      <c r="D39" s="4" t="s">
        <v>317</v>
      </c>
      <c r="E39" s="24" t="s">
        <v>318</v>
      </c>
      <c r="F39" s="24" t="s">
        <v>319</v>
      </c>
      <c r="G39" s="24" t="s">
        <v>320</v>
      </c>
      <c r="H39" s="22" t="s">
        <v>35</v>
      </c>
      <c r="I39" s="26" t="str">
        <f aca="false">IFERROR(INDEX(الأقسام!$H$2:$H$14,MATCH(B39,الأقسام!$A$2:$A$14,0))&amp;"","")</f>
        <v/>
      </c>
      <c r="J39" s="16" t="s">
        <v>22</v>
      </c>
      <c r="K39" s="17"/>
      <c r="L39" s="5"/>
      <c r="M39" s="16"/>
    </row>
    <row r="40" customFormat="false" ht="45" hidden="false" customHeight="true" outlineLevel="0" collapsed="false">
      <c r="A40" s="21" t="s">
        <v>321</v>
      </c>
      <c r="B40" s="22" t="s">
        <v>92</v>
      </c>
      <c r="C40" s="23" t="str">
        <f aca="false">IFERROR(INDEX(الأقسام!$B$2:$B$14,MATCH(B40,الأقسام!$A$2:$A$14,0)),"")</f>
        <v>المعلمون</v>
      </c>
      <c r="D40" s="4" t="s">
        <v>322</v>
      </c>
      <c r="E40" s="24" t="s">
        <v>323</v>
      </c>
      <c r="F40" s="24" t="s">
        <v>324</v>
      </c>
      <c r="G40" s="24" t="s">
        <v>325</v>
      </c>
      <c r="H40" s="22" t="s">
        <v>200</v>
      </c>
      <c r="I40" s="26" t="str">
        <f aca="false">IFERROR(INDEX(الأقسام!$H$2:$H$14,MATCH(B40,الأقسام!$A$2:$A$14,0))&amp;"","")</f>
        <v/>
      </c>
      <c r="J40" s="16" t="s">
        <v>22</v>
      </c>
      <c r="K40" s="17"/>
      <c r="L40" s="5"/>
      <c r="M40" s="16"/>
    </row>
    <row r="41" customFormat="false" ht="45" hidden="false" customHeight="true" outlineLevel="0" collapsed="false">
      <c r="A41" s="21" t="s">
        <v>326</v>
      </c>
      <c r="B41" s="22" t="s">
        <v>92</v>
      </c>
      <c r="C41" s="23" t="str">
        <f aca="false">IFERROR(INDEX(الأقسام!$B$2:$B$14,MATCH(B41,الأقسام!$A$2:$A$14,0)),"")</f>
        <v>المعلمون</v>
      </c>
      <c r="D41" s="4" t="s">
        <v>327</v>
      </c>
      <c r="E41" s="24" t="s">
        <v>323</v>
      </c>
      <c r="F41" s="24" t="s">
        <v>328</v>
      </c>
      <c r="G41" s="24" t="s">
        <v>329</v>
      </c>
      <c r="H41" s="22" t="s">
        <v>35</v>
      </c>
      <c r="I41" s="26" t="str">
        <f aca="false">IFERROR(INDEX(الأقسام!$H$2:$H$14,MATCH(B41,الأقسام!$A$2:$A$14,0))&amp;"","")</f>
        <v/>
      </c>
      <c r="J41" s="16" t="s">
        <v>22</v>
      </c>
      <c r="K41" s="17"/>
      <c r="L41" s="5"/>
      <c r="M41" s="16"/>
    </row>
    <row r="42" customFormat="false" ht="54" hidden="false" customHeight="true" outlineLevel="0" collapsed="false">
      <c r="A42" s="21" t="s">
        <v>330</v>
      </c>
      <c r="B42" s="22" t="s">
        <v>92</v>
      </c>
      <c r="C42" s="23" t="str">
        <f aca="false">IFERROR(INDEX(الأقسام!$B$2:$B$14,MATCH(B42,الأقسام!$A$2:$A$14,0)),"")</f>
        <v>المعلمون</v>
      </c>
      <c r="D42" s="4" t="s">
        <v>331</v>
      </c>
      <c r="E42" s="24" t="s">
        <v>332</v>
      </c>
      <c r="F42" s="24" t="s">
        <v>333</v>
      </c>
      <c r="G42" s="24" t="s">
        <v>334</v>
      </c>
      <c r="H42" s="22" t="s">
        <v>35</v>
      </c>
      <c r="I42" s="26" t="str">
        <f aca="false">IFERROR(INDEX(الأقسام!$H$2:$H$14,MATCH(B42,الأقسام!$A$2:$A$14,0))&amp;"","")</f>
        <v/>
      </c>
      <c r="J42" s="16" t="s">
        <v>22</v>
      </c>
      <c r="K42" s="17"/>
      <c r="L42" s="5"/>
      <c r="M42" s="16"/>
    </row>
    <row r="43" customFormat="false" ht="54" hidden="false" customHeight="true" outlineLevel="0" collapsed="false">
      <c r="A43" s="21" t="s">
        <v>335</v>
      </c>
      <c r="B43" s="22" t="s">
        <v>92</v>
      </c>
      <c r="C43" s="23" t="str">
        <f aca="false">IFERROR(INDEX(الأقسام!$B$2:$B$14,MATCH(B43,الأقسام!$A$2:$A$14,0)),"")</f>
        <v>المعلمون</v>
      </c>
      <c r="D43" s="4" t="s">
        <v>336</v>
      </c>
      <c r="E43" s="24" t="s">
        <v>337</v>
      </c>
      <c r="F43" s="24" t="s">
        <v>338</v>
      </c>
      <c r="G43" s="24" t="s">
        <v>339</v>
      </c>
      <c r="H43" s="22" t="s">
        <v>35</v>
      </c>
      <c r="I43" s="26" t="str">
        <f aca="false">IFERROR(INDEX(الأقسام!$H$2:$H$14,MATCH(B43,الأقسام!$A$2:$A$14,0))&amp;"","")</f>
        <v/>
      </c>
      <c r="J43" s="16" t="s">
        <v>22</v>
      </c>
      <c r="K43" s="17"/>
      <c r="L43" s="5"/>
      <c r="M43" s="16"/>
    </row>
    <row r="44" customFormat="false" ht="69.75" hidden="false" customHeight="true" outlineLevel="0" collapsed="false">
      <c r="A44" s="21" t="s">
        <v>340</v>
      </c>
      <c r="B44" s="22" t="s">
        <v>92</v>
      </c>
      <c r="C44" s="23" t="str">
        <f aca="false">IFERROR(INDEX(الأقسام!$B$2:$B$14,MATCH(B44,الأقسام!$A$2:$A$14,0)),"")</f>
        <v>المعلمون</v>
      </c>
      <c r="D44" s="4" t="s">
        <v>341</v>
      </c>
      <c r="E44" s="24"/>
      <c r="F44" s="24" t="s">
        <v>342</v>
      </c>
      <c r="G44" s="24" t="s">
        <v>343</v>
      </c>
      <c r="H44" s="22" t="s">
        <v>35</v>
      </c>
      <c r="I44" s="26" t="str">
        <f aca="false">IFERROR(INDEX(الأقسام!$H$2:$H$14,MATCH(B44,الأقسام!$A$2:$A$14,0))&amp;"","")</f>
        <v/>
      </c>
      <c r="J44" s="16" t="s">
        <v>22</v>
      </c>
      <c r="K44" s="17"/>
      <c r="L44" s="5"/>
      <c r="M44" s="16"/>
    </row>
    <row r="45" customFormat="false" ht="69.75" hidden="false" customHeight="true" outlineLevel="0" collapsed="false">
      <c r="A45" s="21" t="s">
        <v>344</v>
      </c>
      <c r="B45" s="22" t="s">
        <v>96</v>
      </c>
      <c r="C45" s="23" t="str">
        <f aca="false">IFERROR(INDEX(الأقسام!$B$2:$B$14,MATCH(B45,الأقسام!$A$2:$A$14,0)),"")</f>
        <v>الطلاب</v>
      </c>
      <c r="D45" s="4" t="s">
        <v>345</v>
      </c>
      <c r="E45" s="24" t="s">
        <v>203</v>
      </c>
      <c r="F45" s="24" t="s">
        <v>346</v>
      </c>
      <c r="G45" s="24" t="s">
        <v>347</v>
      </c>
      <c r="H45" s="25" t="s">
        <v>154</v>
      </c>
      <c r="I45" s="26" t="str">
        <f aca="false">IFERROR(INDEX(الأقسام!$H$2:$H$14,MATCH(B45,الأقسام!$A$2:$A$14,0))&amp;"","")</f>
        <v/>
      </c>
      <c r="J45" s="16" t="s">
        <v>22</v>
      </c>
      <c r="K45" s="17"/>
      <c r="L45" s="5"/>
      <c r="M45" s="16"/>
    </row>
    <row r="46" customFormat="false" ht="45" hidden="false" customHeight="true" outlineLevel="0" collapsed="false">
      <c r="A46" s="21" t="s">
        <v>348</v>
      </c>
      <c r="B46" s="22" t="s">
        <v>96</v>
      </c>
      <c r="C46" s="23" t="str">
        <f aca="false">IFERROR(INDEX(الأقسام!$B$2:$B$14,MATCH(B46,الأقسام!$A$2:$A$14,0)),"")</f>
        <v>الطلاب</v>
      </c>
      <c r="D46" s="4" t="s">
        <v>349</v>
      </c>
      <c r="E46" s="24"/>
      <c r="F46" s="24" t="s">
        <v>350</v>
      </c>
      <c r="G46" s="24" t="s">
        <v>351</v>
      </c>
      <c r="H46" s="25" t="s">
        <v>154</v>
      </c>
      <c r="I46" s="26" t="str">
        <f aca="false">IFERROR(INDEX(الأقسام!$H$2:$H$14,MATCH(B46,الأقسام!$A$2:$A$14,0))&amp;"","")</f>
        <v/>
      </c>
      <c r="J46" s="16" t="s">
        <v>22</v>
      </c>
      <c r="K46" s="17"/>
      <c r="L46" s="5"/>
      <c r="M46" s="16"/>
    </row>
    <row r="47" customFormat="false" ht="69.75" hidden="false" customHeight="true" outlineLevel="0" collapsed="false">
      <c r="A47" s="21" t="s">
        <v>352</v>
      </c>
      <c r="B47" s="22" t="s">
        <v>96</v>
      </c>
      <c r="C47" s="23" t="str">
        <f aca="false">IFERROR(INDEX(الأقسام!$B$2:$B$14,MATCH(B47,الأقسام!$A$2:$A$14,0)),"")</f>
        <v>الطلاب</v>
      </c>
      <c r="D47" s="4" t="s">
        <v>353</v>
      </c>
      <c r="E47" s="24"/>
      <c r="F47" s="24" t="s">
        <v>354</v>
      </c>
      <c r="G47" s="24" t="s">
        <v>355</v>
      </c>
      <c r="H47" s="25" t="s">
        <v>154</v>
      </c>
      <c r="I47" s="26" t="str">
        <f aca="false">IFERROR(INDEX(الأقسام!$H$2:$H$14,MATCH(B47,الأقسام!$A$2:$A$14,0))&amp;"","")</f>
        <v/>
      </c>
      <c r="J47" s="16" t="s">
        <v>22</v>
      </c>
      <c r="K47" s="17"/>
      <c r="L47" s="5"/>
      <c r="M47" s="16"/>
    </row>
    <row r="48" customFormat="false" ht="54" hidden="false" customHeight="true" outlineLevel="0" collapsed="false">
      <c r="A48" s="21" t="s">
        <v>356</v>
      </c>
      <c r="B48" s="22" t="s">
        <v>96</v>
      </c>
      <c r="C48" s="23" t="str">
        <f aca="false">IFERROR(INDEX(الأقسام!$B$2:$B$14,MATCH(B48,الأقسام!$A$2:$A$14,0)),"")</f>
        <v>الطلاب</v>
      </c>
      <c r="D48" s="4" t="s">
        <v>357</v>
      </c>
      <c r="E48" s="24"/>
      <c r="F48" s="24" t="s">
        <v>358</v>
      </c>
      <c r="G48" s="24" t="s">
        <v>359</v>
      </c>
      <c r="H48" s="22" t="s">
        <v>35</v>
      </c>
      <c r="I48" s="26" t="str">
        <f aca="false">IFERROR(INDEX(الأقسام!$H$2:$H$14,MATCH(B48,الأقسام!$A$2:$A$14,0))&amp;"","")</f>
        <v/>
      </c>
      <c r="J48" s="16" t="s">
        <v>22</v>
      </c>
      <c r="K48" s="17"/>
      <c r="L48" s="5"/>
      <c r="M48" s="16"/>
    </row>
    <row r="49" customFormat="false" ht="54" hidden="false" customHeight="true" outlineLevel="0" collapsed="false">
      <c r="A49" s="21" t="s">
        <v>360</v>
      </c>
      <c r="B49" s="22" t="s">
        <v>96</v>
      </c>
      <c r="C49" s="23" t="str">
        <f aca="false">IFERROR(INDEX(الأقسام!$B$2:$B$14,MATCH(B49,الأقسام!$A$2:$A$14,0)),"")</f>
        <v>الطلاب</v>
      </c>
      <c r="D49" s="4" t="s">
        <v>361</v>
      </c>
      <c r="E49" s="24"/>
      <c r="F49" s="24" t="s">
        <v>362</v>
      </c>
      <c r="G49" s="24" t="s">
        <v>363</v>
      </c>
      <c r="H49" s="22" t="s">
        <v>35</v>
      </c>
      <c r="I49" s="26" t="str">
        <f aca="false">IFERROR(INDEX(الأقسام!$H$2:$H$14,MATCH(B49,الأقسام!$A$2:$A$14,0))&amp;"","")</f>
        <v/>
      </c>
      <c r="J49" s="16" t="s">
        <v>22</v>
      </c>
      <c r="K49" s="17"/>
      <c r="L49" s="5"/>
      <c r="M49" s="16"/>
    </row>
    <row r="50" customFormat="false" ht="45" hidden="false" customHeight="true" outlineLevel="0" collapsed="false">
      <c r="A50" s="21" t="s">
        <v>364</v>
      </c>
      <c r="B50" s="22" t="s">
        <v>96</v>
      </c>
      <c r="C50" s="23" t="str">
        <f aca="false">IFERROR(INDEX(الأقسام!$B$2:$B$14,MATCH(B50,الأقسام!$A$2:$A$14,0)),"")</f>
        <v>الطلاب</v>
      </c>
      <c r="D50" s="4" t="s">
        <v>365</v>
      </c>
      <c r="E50" s="24"/>
      <c r="F50" s="24" t="s">
        <v>366</v>
      </c>
      <c r="G50" s="24" t="s">
        <v>367</v>
      </c>
      <c r="H50" s="22" t="s">
        <v>35</v>
      </c>
      <c r="I50" s="26" t="str">
        <f aca="false">IFERROR(INDEX(الأقسام!$H$2:$H$14,MATCH(B50,الأقسام!$A$2:$A$14,0))&amp;"","")</f>
        <v/>
      </c>
      <c r="J50" s="16" t="s">
        <v>22</v>
      </c>
      <c r="K50" s="17"/>
      <c r="L50" s="5"/>
      <c r="M50" s="16"/>
    </row>
    <row r="51" customFormat="false" ht="54" hidden="false" customHeight="true" outlineLevel="0" collapsed="false">
      <c r="A51" s="21" t="s">
        <v>368</v>
      </c>
      <c r="B51" s="22" t="s">
        <v>96</v>
      </c>
      <c r="C51" s="23" t="str">
        <f aca="false">IFERROR(INDEX(الأقسام!$B$2:$B$14,MATCH(B51,الأقسام!$A$2:$A$14,0)),"")</f>
        <v>الطلاب</v>
      </c>
      <c r="D51" s="4" t="s">
        <v>369</v>
      </c>
      <c r="E51" s="24" t="s">
        <v>370</v>
      </c>
      <c r="F51" s="24" t="s">
        <v>371</v>
      </c>
      <c r="G51" s="24" t="s">
        <v>372</v>
      </c>
      <c r="H51" s="22" t="s">
        <v>35</v>
      </c>
      <c r="I51" s="26" t="str">
        <f aca="false">IFERROR(INDEX(الأقسام!$H$2:$H$14,MATCH(B51,الأقسام!$A$2:$A$14,0))&amp;"","")</f>
        <v/>
      </c>
      <c r="J51" s="16" t="s">
        <v>22</v>
      </c>
      <c r="K51" s="17"/>
      <c r="L51" s="5"/>
      <c r="M51" s="16"/>
    </row>
    <row r="52" customFormat="false" ht="69.75" hidden="false" customHeight="true" outlineLevel="0" collapsed="false">
      <c r="A52" s="21" t="s">
        <v>373</v>
      </c>
      <c r="B52" s="22" t="s">
        <v>96</v>
      </c>
      <c r="C52" s="23" t="str">
        <f aca="false">IFERROR(INDEX(الأقسام!$B$2:$B$14,MATCH(B52,الأقسام!$A$2:$A$14,0)),"")</f>
        <v>الطلاب</v>
      </c>
      <c r="D52" s="4" t="s">
        <v>374</v>
      </c>
      <c r="E52" s="24"/>
      <c r="F52" s="24" t="s">
        <v>375</v>
      </c>
      <c r="G52" s="24" t="s">
        <v>376</v>
      </c>
      <c r="H52" s="25" t="s">
        <v>154</v>
      </c>
      <c r="I52" s="26" t="str">
        <f aca="false">IFERROR(INDEX(الأقسام!$H$2:$H$14,MATCH(B52,الأقسام!$A$2:$A$14,0))&amp;"","")</f>
        <v/>
      </c>
      <c r="J52" s="16" t="s">
        <v>22</v>
      </c>
      <c r="K52" s="17"/>
      <c r="L52" s="5"/>
      <c r="M52" s="16"/>
    </row>
    <row r="53" customFormat="false" ht="54" hidden="false" customHeight="true" outlineLevel="0" collapsed="false">
      <c r="A53" s="21" t="s">
        <v>377</v>
      </c>
      <c r="B53" s="22" t="s">
        <v>96</v>
      </c>
      <c r="C53" s="23" t="str">
        <f aca="false">IFERROR(INDEX(الأقسام!$B$2:$B$14,MATCH(B53,الأقسام!$A$2:$A$14,0)),"")</f>
        <v>الطلاب</v>
      </c>
      <c r="D53" s="4" t="s">
        <v>378</v>
      </c>
      <c r="E53" s="24" t="s">
        <v>379</v>
      </c>
      <c r="F53" s="24" t="s">
        <v>380</v>
      </c>
      <c r="G53" s="24" t="s">
        <v>381</v>
      </c>
      <c r="H53" s="25" t="s">
        <v>154</v>
      </c>
      <c r="I53" s="26" t="str">
        <f aca="false">IFERROR(INDEX(الأقسام!$H$2:$H$14,MATCH(B53,الأقسام!$A$2:$A$14,0))&amp;"","")</f>
        <v/>
      </c>
      <c r="J53" s="16" t="s">
        <v>22</v>
      </c>
      <c r="K53" s="17"/>
      <c r="L53" s="5"/>
      <c r="M53" s="16"/>
    </row>
    <row r="54" customFormat="false" ht="69.75" hidden="false" customHeight="true" outlineLevel="0" collapsed="false">
      <c r="A54" s="21" t="s">
        <v>382</v>
      </c>
      <c r="B54" s="22" t="s">
        <v>96</v>
      </c>
      <c r="C54" s="23" t="str">
        <f aca="false">IFERROR(INDEX(الأقسام!$B$2:$B$14,MATCH(B54,الأقسام!$A$2:$A$14,0)),"")</f>
        <v>الطلاب</v>
      </c>
      <c r="D54" s="4" t="s">
        <v>383</v>
      </c>
      <c r="E54" s="24" t="s">
        <v>384</v>
      </c>
      <c r="F54" s="24" t="s">
        <v>385</v>
      </c>
      <c r="G54" s="24" t="s">
        <v>386</v>
      </c>
      <c r="H54" s="22" t="s">
        <v>35</v>
      </c>
      <c r="I54" s="26" t="str">
        <f aca="false">IFERROR(INDEX(الأقسام!$H$2:$H$14,MATCH(B54,الأقسام!$A$2:$A$14,0))&amp;"","")</f>
        <v/>
      </c>
      <c r="J54" s="16" t="s">
        <v>22</v>
      </c>
      <c r="K54" s="17"/>
      <c r="L54" s="5"/>
      <c r="M54" s="16"/>
    </row>
    <row r="55" customFormat="false" ht="45" hidden="false" customHeight="true" outlineLevel="0" collapsed="false">
      <c r="A55" s="21" t="s">
        <v>387</v>
      </c>
      <c r="B55" s="22" t="s">
        <v>96</v>
      </c>
      <c r="C55" s="23" t="str">
        <f aca="false">IFERROR(INDEX(الأقسام!$B$2:$B$14,MATCH(B55,الأقسام!$A$2:$A$14,0)),"")</f>
        <v>الطلاب</v>
      </c>
      <c r="D55" s="4" t="s">
        <v>388</v>
      </c>
      <c r="E55" s="24" t="s">
        <v>389</v>
      </c>
      <c r="F55" s="24" t="s">
        <v>390</v>
      </c>
      <c r="G55" s="24" t="s">
        <v>391</v>
      </c>
      <c r="H55" s="25" t="s">
        <v>154</v>
      </c>
      <c r="I55" s="26" t="str">
        <f aca="false">IFERROR(INDEX(الأقسام!$H$2:$H$14,MATCH(B55,الأقسام!$A$2:$A$14,0))&amp;"","")</f>
        <v/>
      </c>
      <c r="J55" s="16" t="s">
        <v>22</v>
      </c>
      <c r="K55" s="17"/>
      <c r="L55" s="5"/>
      <c r="M55" s="16"/>
    </row>
    <row r="56" customFormat="false" ht="54" hidden="false" customHeight="true" outlineLevel="0" collapsed="false">
      <c r="A56" s="21" t="s">
        <v>392</v>
      </c>
      <c r="B56" s="22" t="s">
        <v>96</v>
      </c>
      <c r="C56" s="23" t="str">
        <f aca="false">IFERROR(INDEX(الأقسام!$B$2:$B$14,MATCH(B56,الأقسام!$A$2:$A$14,0)),"")</f>
        <v>الطلاب</v>
      </c>
      <c r="D56" s="4" t="s">
        <v>393</v>
      </c>
      <c r="E56" s="24" t="s">
        <v>394</v>
      </c>
      <c r="F56" s="24" t="s">
        <v>395</v>
      </c>
      <c r="G56" s="24" t="s">
        <v>396</v>
      </c>
      <c r="H56" s="22" t="s">
        <v>35</v>
      </c>
      <c r="I56" s="26" t="str">
        <f aca="false">IFERROR(INDEX(الأقسام!$H$2:$H$14,MATCH(B56,الأقسام!$A$2:$A$14,0))&amp;"","")</f>
        <v/>
      </c>
      <c r="J56" s="16" t="s">
        <v>22</v>
      </c>
      <c r="K56" s="17"/>
      <c r="L56" s="5"/>
      <c r="M56" s="16"/>
    </row>
    <row r="57" customFormat="false" ht="45" hidden="false" customHeight="true" outlineLevel="0" collapsed="false">
      <c r="A57" s="21" t="s">
        <v>397</v>
      </c>
      <c r="B57" s="22" t="s">
        <v>96</v>
      </c>
      <c r="C57" s="23" t="str">
        <f aca="false">IFERROR(INDEX(الأقسام!$B$2:$B$14,MATCH(B57,الأقسام!$A$2:$A$14,0)),"")</f>
        <v>الطلاب</v>
      </c>
      <c r="D57" s="4" t="s">
        <v>398</v>
      </c>
      <c r="E57" s="24" t="s">
        <v>399</v>
      </c>
      <c r="F57" s="24" t="s">
        <v>400</v>
      </c>
      <c r="G57" s="24" t="s">
        <v>401</v>
      </c>
      <c r="H57" s="25" t="s">
        <v>154</v>
      </c>
      <c r="I57" s="26" t="str">
        <f aca="false">IFERROR(INDEX(الأقسام!$H$2:$H$14,MATCH(B57,الأقسام!$A$2:$A$14,0))&amp;"","")</f>
        <v/>
      </c>
      <c r="J57" s="16" t="s">
        <v>22</v>
      </c>
      <c r="K57" s="17"/>
      <c r="L57" s="5"/>
      <c r="M57" s="16"/>
    </row>
    <row r="58" customFormat="false" ht="45" hidden="false" customHeight="true" outlineLevel="0" collapsed="false">
      <c r="A58" s="21" t="s">
        <v>402</v>
      </c>
      <c r="B58" s="22" t="s">
        <v>96</v>
      </c>
      <c r="C58" s="23" t="str">
        <f aca="false">IFERROR(INDEX(الأقسام!$B$2:$B$14,MATCH(B58,الأقسام!$A$2:$A$14,0)),"")</f>
        <v>الطلاب</v>
      </c>
      <c r="D58" s="4" t="s">
        <v>403</v>
      </c>
      <c r="E58" s="24" t="s">
        <v>404</v>
      </c>
      <c r="F58" s="24" t="s">
        <v>405</v>
      </c>
      <c r="G58" s="24" t="s">
        <v>406</v>
      </c>
      <c r="H58" s="22" t="s">
        <v>200</v>
      </c>
      <c r="I58" s="26" t="str">
        <f aca="false">IFERROR(INDEX(الأقسام!$H$2:$H$14,MATCH(B58,الأقسام!$A$2:$A$14,0))&amp;"","")</f>
        <v/>
      </c>
      <c r="J58" s="16" t="s">
        <v>22</v>
      </c>
      <c r="K58" s="17"/>
      <c r="L58" s="5"/>
      <c r="M58" s="16"/>
    </row>
    <row r="59" customFormat="false" ht="45" hidden="false" customHeight="true" outlineLevel="0" collapsed="false">
      <c r="A59" s="21" t="s">
        <v>407</v>
      </c>
      <c r="B59" s="22" t="s">
        <v>96</v>
      </c>
      <c r="C59" s="23" t="str">
        <f aca="false">IFERROR(INDEX(الأقسام!$B$2:$B$14,MATCH(B59,الأقسام!$A$2:$A$14,0)),"")</f>
        <v>الطلاب</v>
      </c>
      <c r="D59" s="4" t="s">
        <v>408</v>
      </c>
      <c r="E59" s="24" t="s">
        <v>409</v>
      </c>
      <c r="F59" s="24" t="s">
        <v>410</v>
      </c>
      <c r="G59" s="24" t="s">
        <v>411</v>
      </c>
      <c r="H59" s="22" t="s">
        <v>35</v>
      </c>
      <c r="I59" s="26" t="str">
        <f aca="false">IFERROR(INDEX(الأقسام!$H$2:$H$14,MATCH(B59,الأقسام!$A$2:$A$14,0))&amp;"","")</f>
        <v/>
      </c>
      <c r="J59" s="16" t="s">
        <v>22</v>
      </c>
      <c r="K59" s="17"/>
      <c r="L59" s="5"/>
      <c r="M59" s="16"/>
    </row>
    <row r="60" customFormat="false" ht="69.75" hidden="false" customHeight="true" outlineLevel="0" collapsed="false">
      <c r="A60" s="21" t="s">
        <v>412</v>
      </c>
      <c r="B60" s="22" t="s">
        <v>96</v>
      </c>
      <c r="C60" s="23" t="str">
        <f aca="false">IFERROR(INDEX(الأقسام!$B$2:$B$14,MATCH(B60,الأقسام!$A$2:$A$14,0)),"")</f>
        <v>الطلاب</v>
      </c>
      <c r="D60" s="4" t="s">
        <v>413</v>
      </c>
      <c r="E60" s="24"/>
      <c r="F60" s="24" t="s">
        <v>414</v>
      </c>
      <c r="G60" s="24" t="s">
        <v>415</v>
      </c>
      <c r="H60" s="25" t="s">
        <v>154</v>
      </c>
      <c r="I60" s="26" t="str">
        <f aca="false">IFERROR(INDEX(الأقسام!$H$2:$H$14,MATCH(B60,الأقسام!$A$2:$A$14,0))&amp;"","")</f>
        <v/>
      </c>
      <c r="J60" s="16" t="s">
        <v>22</v>
      </c>
      <c r="K60" s="17"/>
      <c r="L60" s="5"/>
      <c r="M60" s="16"/>
    </row>
    <row r="61" customFormat="false" ht="85.5" hidden="false" customHeight="true" outlineLevel="0" collapsed="false">
      <c r="A61" s="21" t="s">
        <v>416</v>
      </c>
      <c r="B61" s="22" t="s">
        <v>101</v>
      </c>
      <c r="C61" s="23" t="str">
        <f aca="false">IFERROR(INDEX(الأقسام!$B$2:$B$14,MATCH(B61,الأقسام!$A$2:$A$14,0)),"")</f>
        <v>الفصول وتسجيل الطلاب</v>
      </c>
      <c r="D61" s="4" t="s">
        <v>417</v>
      </c>
      <c r="E61" s="24" t="s">
        <v>323</v>
      </c>
      <c r="F61" s="24" t="s">
        <v>418</v>
      </c>
      <c r="G61" s="24" t="s">
        <v>419</v>
      </c>
      <c r="H61" s="25" t="s">
        <v>154</v>
      </c>
      <c r="I61" s="26" t="str">
        <f aca="false">IFERROR(INDEX(الأقسام!$H$2:$H$14,MATCH(B61,الأقسام!$A$2:$A$14,0))&amp;"","")</f>
        <v/>
      </c>
      <c r="J61" s="16" t="s">
        <v>22</v>
      </c>
      <c r="K61" s="17"/>
      <c r="L61" s="5"/>
      <c r="M61" s="16"/>
    </row>
    <row r="62" customFormat="false" ht="45" hidden="false" customHeight="true" outlineLevel="0" collapsed="false">
      <c r="A62" s="21" t="s">
        <v>420</v>
      </c>
      <c r="B62" s="22" t="s">
        <v>101</v>
      </c>
      <c r="C62" s="23" t="str">
        <f aca="false">IFERROR(INDEX(الأقسام!$B$2:$B$14,MATCH(B62,الأقسام!$A$2:$A$14,0)),"")</f>
        <v>الفصول وتسجيل الطلاب</v>
      </c>
      <c r="D62" s="4" t="s">
        <v>421</v>
      </c>
      <c r="E62" s="24"/>
      <c r="F62" s="24" t="s">
        <v>422</v>
      </c>
      <c r="G62" s="24" t="s">
        <v>423</v>
      </c>
      <c r="H62" s="22" t="s">
        <v>35</v>
      </c>
      <c r="I62" s="26" t="str">
        <f aca="false">IFERROR(INDEX(الأقسام!$H$2:$H$14,MATCH(B62,الأقسام!$A$2:$A$14,0))&amp;"","")</f>
        <v/>
      </c>
      <c r="J62" s="16" t="s">
        <v>22</v>
      </c>
      <c r="K62" s="17"/>
      <c r="L62" s="5"/>
      <c r="M62" s="16"/>
    </row>
    <row r="63" customFormat="false" ht="45" hidden="false" customHeight="true" outlineLevel="0" collapsed="false">
      <c r="A63" s="21" t="s">
        <v>424</v>
      </c>
      <c r="B63" s="22" t="s">
        <v>101</v>
      </c>
      <c r="C63" s="23" t="str">
        <f aca="false">IFERROR(INDEX(الأقسام!$B$2:$B$14,MATCH(B63,الأقسام!$A$2:$A$14,0)),"")</f>
        <v>الفصول وتسجيل الطلاب</v>
      </c>
      <c r="D63" s="4" t="s">
        <v>425</v>
      </c>
      <c r="E63" s="24"/>
      <c r="F63" s="24" t="s">
        <v>426</v>
      </c>
      <c r="G63" s="24" t="s">
        <v>427</v>
      </c>
      <c r="H63" s="25" t="s">
        <v>154</v>
      </c>
      <c r="I63" s="26" t="str">
        <f aca="false">IFERROR(INDEX(الأقسام!$H$2:$H$14,MATCH(B63,الأقسام!$A$2:$A$14,0))&amp;"","")</f>
        <v/>
      </c>
      <c r="J63" s="16" t="s">
        <v>22</v>
      </c>
      <c r="K63" s="17"/>
      <c r="L63" s="5"/>
      <c r="M63" s="16"/>
    </row>
    <row r="64" customFormat="false" ht="45" hidden="false" customHeight="true" outlineLevel="0" collapsed="false">
      <c r="A64" s="21" t="s">
        <v>428</v>
      </c>
      <c r="B64" s="22" t="s">
        <v>101</v>
      </c>
      <c r="C64" s="23" t="str">
        <f aca="false">IFERROR(INDEX(الأقسام!$B$2:$B$14,MATCH(B64,الأقسام!$A$2:$A$14,0)),"")</f>
        <v>الفصول وتسجيل الطلاب</v>
      </c>
      <c r="D64" s="4" t="s">
        <v>429</v>
      </c>
      <c r="E64" s="24"/>
      <c r="F64" s="24" t="s">
        <v>430</v>
      </c>
      <c r="G64" s="24" t="s">
        <v>431</v>
      </c>
      <c r="H64" s="22" t="s">
        <v>35</v>
      </c>
      <c r="I64" s="26" t="str">
        <f aca="false">IFERROR(INDEX(الأقسام!$H$2:$H$14,MATCH(B64,الأقسام!$A$2:$A$14,0))&amp;"","")</f>
        <v/>
      </c>
      <c r="J64" s="16" t="s">
        <v>22</v>
      </c>
      <c r="K64" s="17"/>
      <c r="L64" s="5"/>
      <c r="M64" s="16"/>
    </row>
    <row r="65" customFormat="false" ht="69.75" hidden="false" customHeight="true" outlineLevel="0" collapsed="false">
      <c r="A65" s="21" t="s">
        <v>432</v>
      </c>
      <c r="B65" s="22" t="s">
        <v>101</v>
      </c>
      <c r="C65" s="23" t="str">
        <f aca="false">IFERROR(INDEX(الأقسام!$B$2:$B$14,MATCH(B65,الأقسام!$A$2:$A$14,0)),"")</f>
        <v>الفصول وتسجيل الطلاب</v>
      </c>
      <c r="D65" s="4" t="s">
        <v>433</v>
      </c>
      <c r="E65" s="24" t="s">
        <v>434</v>
      </c>
      <c r="F65" s="24" t="s">
        <v>435</v>
      </c>
      <c r="G65" s="24" t="s">
        <v>436</v>
      </c>
      <c r="H65" s="25" t="s">
        <v>154</v>
      </c>
      <c r="I65" s="26" t="str">
        <f aca="false">IFERROR(INDEX(الأقسام!$H$2:$H$14,MATCH(B65,الأقسام!$A$2:$A$14,0))&amp;"","")</f>
        <v/>
      </c>
      <c r="J65" s="16" t="s">
        <v>22</v>
      </c>
      <c r="K65" s="17"/>
      <c r="L65" s="5"/>
      <c r="M65" s="16"/>
    </row>
    <row r="66" customFormat="false" ht="54" hidden="false" customHeight="true" outlineLevel="0" collapsed="false">
      <c r="A66" s="21" t="s">
        <v>437</v>
      </c>
      <c r="B66" s="22" t="s">
        <v>101</v>
      </c>
      <c r="C66" s="23" t="str">
        <f aca="false">IFERROR(INDEX(الأقسام!$B$2:$B$14,MATCH(B66,الأقسام!$A$2:$A$14,0)),"")</f>
        <v>الفصول وتسجيل الطلاب</v>
      </c>
      <c r="D66" s="4" t="s">
        <v>438</v>
      </c>
      <c r="E66" s="24" t="s">
        <v>439</v>
      </c>
      <c r="F66" s="24" t="s">
        <v>440</v>
      </c>
      <c r="G66" s="24" t="s">
        <v>441</v>
      </c>
      <c r="H66" s="22" t="s">
        <v>35</v>
      </c>
      <c r="I66" s="26" t="str">
        <f aca="false">IFERROR(INDEX(الأقسام!$H$2:$H$14,MATCH(B66,الأقسام!$A$2:$A$14,0))&amp;"","")</f>
        <v/>
      </c>
      <c r="J66" s="16" t="s">
        <v>22</v>
      </c>
      <c r="K66" s="17"/>
      <c r="L66" s="5"/>
      <c r="M66" s="16"/>
    </row>
    <row r="67" customFormat="false" ht="45" hidden="false" customHeight="true" outlineLevel="0" collapsed="false">
      <c r="A67" s="21" t="s">
        <v>442</v>
      </c>
      <c r="B67" s="22" t="s">
        <v>101</v>
      </c>
      <c r="C67" s="23" t="str">
        <f aca="false">IFERROR(INDEX(الأقسام!$B$2:$B$14,MATCH(B67,الأقسام!$A$2:$A$14,0)),"")</f>
        <v>الفصول وتسجيل الطلاب</v>
      </c>
      <c r="D67" s="4" t="s">
        <v>443</v>
      </c>
      <c r="E67" s="24" t="s">
        <v>444</v>
      </c>
      <c r="F67" s="24" t="s">
        <v>445</v>
      </c>
      <c r="G67" s="24" t="s">
        <v>446</v>
      </c>
      <c r="H67" s="25" t="s">
        <v>154</v>
      </c>
      <c r="I67" s="26" t="str">
        <f aca="false">IFERROR(INDEX(الأقسام!$H$2:$H$14,MATCH(B67,الأقسام!$A$2:$A$14,0))&amp;"","")</f>
        <v/>
      </c>
      <c r="J67" s="16" t="s">
        <v>22</v>
      </c>
      <c r="K67" s="17"/>
      <c r="L67" s="5"/>
      <c r="M67" s="16"/>
    </row>
    <row r="68" customFormat="false" ht="45" hidden="false" customHeight="true" outlineLevel="0" collapsed="false">
      <c r="A68" s="21" t="s">
        <v>447</v>
      </c>
      <c r="B68" s="22" t="s">
        <v>101</v>
      </c>
      <c r="C68" s="23" t="str">
        <f aca="false">IFERROR(INDEX(الأقسام!$B$2:$B$14,MATCH(B68,الأقسام!$A$2:$A$14,0)),"")</f>
        <v>الفصول وتسجيل الطلاب</v>
      </c>
      <c r="D68" s="4" t="s">
        <v>448</v>
      </c>
      <c r="E68" s="24" t="s">
        <v>449</v>
      </c>
      <c r="F68" s="24" t="s">
        <v>450</v>
      </c>
      <c r="G68" s="24" t="s">
        <v>451</v>
      </c>
      <c r="H68" s="22" t="s">
        <v>35</v>
      </c>
      <c r="I68" s="26" t="str">
        <f aca="false">IFERROR(INDEX(الأقسام!$H$2:$H$14,MATCH(B68,الأقسام!$A$2:$A$14,0))&amp;"","")</f>
        <v/>
      </c>
      <c r="J68" s="16" t="s">
        <v>22</v>
      </c>
      <c r="K68" s="17"/>
      <c r="L68" s="5"/>
      <c r="M68" s="16"/>
    </row>
    <row r="69" customFormat="false" ht="45" hidden="false" customHeight="true" outlineLevel="0" collapsed="false">
      <c r="A69" s="21" t="s">
        <v>452</v>
      </c>
      <c r="B69" s="22" t="s">
        <v>101</v>
      </c>
      <c r="C69" s="23" t="str">
        <f aca="false">IFERROR(INDEX(الأقسام!$B$2:$B$14,MATCH(B69,الأقسام!$A$2:$A$14,0)),"")</f>
        <v>الفصول وتسجيل الطلاب</v>
      </c>
      <c r="D69" s="4" t="s">
        <v>453</v>
      </c>
      <c r="E69" s="24" t="s">
        <v>454</v>
      </c>
      <c r="F69" s="24" t="s">
        <v>455</v>
      </c>
      <c r="G69" s="24" t="s">
        <v>456</v>
      </c>
      <c r="H69" s="22" t="s">
        <v>35</v>
      </c>
      <c r="I69" s="26" t="str">
        <f aca="false">IFERROR(INDEX(الأقسام!$H$2:$H$14,MATCH(B69,الأقسام!$A$2:$A$14,0))&amp;"","")</f>
        <v/>
      </c>
      <c r="J69" s="16" t="s">
        <v>22</v>
      </c>
      <c r="K69" s="17"/>
      <c r="L69" s="5"/>
      <c r="M69" s="16"/>
    </row>
    <row r="70" customFormat="false" ht="45" hidden="false" customHeight="true" outlineLevel="0" collapsed="false">
      <c r="A70" s="21" t="s">
        <v>457</v>
      </c>
      <c r="B70" s="22" t="s">
        <v>101</v>
      </c>
      <c r="C70" s="23" t="str">
        <f aca="false">IFERROR(INDEX(الأقسام!$B$2:$B$14,MATCH(B70,الأقسام!$A$2:$A$14,0)),"")</f>
        <v>الفصول وتسجيل الطلاب</v>
      </c>
      <c r="D70" s="4" t="s">
        <v>458</v>
      </c>
      <c r="E70" s="24" t="s">
        <v>459</v>
      </c>
      <c r="F70" s="24" t="s">
        <v>460</v>
      </c>
      <c r="G70" s="24" t="s">
        <v>461</v>
      </c>
      <c r="H70" s="22" t="s">
        <v>200</v>
      </c>
      <c r="I70" s="26" t="str">
        <f aca="false">IFERROR(INDEX(الأقسام!$H$2:$H$14,MATCH(B70,الأقسام!$A$2:$A$14,0))&amp;"","")</f>
        <v/>
      </c>
      <c r="J70" s="16" t="s">
        <v>22</v>
      </c>
      <c r="K70" s="17"/>
      <c r="L70" s="5"/>
      <c r="M70" s="16"/>
    </row>
    <row r="71" customFormat="false" ht="45" hidden="false" customHeight="true" outlineLevel="0" collapsed="false">
      <c r="A71" s="21" t="s">
        <v>462</v>
      </c>
      <c r="B71" s="22" t="s">
        <v>101</v>
      </c>
      <c r="C71" s="23" t="str">
        <f aca="false">IFERROR(INDEX(الأقسام!$B$2:$B$14,MATCH(B71,الأقسام!$A$2:$A$14,0)),"")</f>
        <v>الفصول وتسجيل الطلاب</v>
      </c>
      <c r="D71" s="4" t="s">
        <v>463</v>
      </c>
      <c r="E71" s="24" t="s">
        <v>464</v>
      </c>
      <c r="F71" s="24" t="s">
        <v>465</v>
      </c>
      <c r="G71" s="24" t="s">
        <v>466</v>
      </c>
      <c r="H71" s="22" t="s">
        <v>35</v>
      </c>
      <c r="I71" s="26" t="str">
        <f aca="false">IFERROR(INDEX(الأقسام!$H$2:$H$14,MATCH(B71,الأقسام!$A$2:$A$14,0))&amp;"","")</f>
        <v/>
      </c>
      <c r="J71" s="16" t="s">
        <v>22</v>
      </c>
      <c r="K71" s="17"/>
      <c r="L71" s="5"/>
      <c r="M71" s="16"/>
    </row>
    <row r="72" customFormat="false" ht="45" hidden="false" customHeight="true" outlineLevel="0" collapsed="false">
      <c r="A72" s="21" t="s">
        <v>467</v>
      </c>
      <c r="B72" s="22" t="s">
        <v>101</v>
      </c>
      <c r="C72" s="23" t="str">
        <f aca="false">IFERROR(INDEX(الأقسام!$B$2:$B$14,MATCH(B72,الأقسام!$A$2:$A$14,0)),"")</f>
        <v>الفصول وتسجيل الطلاب</v>
      </c>
      <c r="D72" s="4" t="s">
        <v>468</v>
      </c>
      <c r="E72" s="24"/>
      <c r="F72" s="24" t="s">
        <v>469</v>
      </c>
      <c r="G72" s="24" t="s">
        <v>470</v>
      </c>
      <c r="H72" s="22" t="s">
        <v>200</v>
      </c>
      <c r="I72" s="26" t="str">
        <f aca="false">IFERROR(INDEX(الأقسام!$H$2:$H$14,MATCH(B72,الأقسام!$A$2:$A$14,0))&amp;"","")</f>
        <v/>
      </c>
      <c r="J72" s="16" t="s">
        <v>22</v>
      </c>
      <c r="K72" s="17"/>
      <c r="L72" s="5"/>
      <c r="M72" s="16"/>
    </row>
    <row r="73" customFormat="false" ht="69.75" hidden="false" customHeight="true" outlineLevel="0" collapsed="false">
      <c r="A73" s="21" t="s">
        <v>471</v>
      </c>
      <c r="B73" s="22" t="s">
        <v>106</v>
      </c>
      <c r="C73" s="23" t="str">
        <f aca="false">IFERROR(INDEX(الأقسام!$B$2:$B$14,MATCH(B73,الأقسام!$A$2:$A$14,0)),"")</f>
        <v>الحضور والغياب</v>
      </c>
      <c r="D73" s="4" t="s">
        <v>472</v>
      </c>
      <c r="E73" s="24" t="s">
        <v>473</v>
      </c>
      <c r="F73" s="24" t="s">
        <v>474</v>
      </c>
      <c r="G73" s="24" t="s">
        <v>475</v>
      </c>
      <c r="H73" s="25" t="s">
        <v>154</v>
      </c>
      <c r="I73" s="26" t="str">
        <f aca="false">IFERROR(INDEX(الأقسام!$H$2:$H$14,MATCH(B73,الأقسام!$A$2:$A$14,0))&amp;"","")</f>
        <v/>
      </c>
      <c r="J73" s="16" t="s">
        <v>22</v>
      </c>
      <c r="K73" s="17"/>
      <c r="L73" s="5"/>
      <c r="M73" s="16"/>
    </row>
    <row r="74" customFormat="false" ht="45" hidden="false" customHeight="true" outlineLevel="0" collapsed="false">
      <c r="A74" s="21" t="s">
        <v>476</v>
      </c>
      <c r="B74" s="22" t="s">
        <v>106</v>
      </c>
      <c r="C74" s="23" t="str">
        <f aca="false">IFERROR(INDEX(الأقسام!$B$2:$B$14,MATCH(B74,الأقسام!$A$2:$A$14,0)),"")</f>
        <v>الحضور والغياب</v>
      </c>
      <c r="D74" s="4" t="s">
        <v>477</v>
      </c>
      <c r="E74" s="24"/>
      <c r="F74" s="24" t="s">
        <v>478</v>
      </c>
      <c r="G74" s="24" t="s">
        <v>479</v>
      </c>
      <c r="H74" s="22" t="s">
        <v>35</v>
      </c>
      <c r="I74" s="26" t="str">
        <f aca="false">IFERROR(INDEX(الأقسام!$H$2:$H$14,MATCH(B74,الأقسام!$A$2:$A$14,0))&amp;"","")</f>
        <v/>
      </c>
      <c r="J74" s="16" t="s">
        <v>22</v>
      </c>
      <c r="K74" s="17"/>
      <c r="L74" s="5"/>
      <c r="M74" s="16"/>
    </row>
    <row r="75" customFormat="false" ht="54" hidden="false" customHeight="true" outlineLevel="0" collapsed="false">
      <c r="A75" s="21" t="s">
        <v>480</v>
      </c>
      <c r="B75" s="22" t="s">
        <v>106</v>
      </c>
      <c r="C75" s="23" t="str">
        <f aca="false">IFERROR(INDEX(الأقسام!$B$2:$B$14,MATCH(B75,الأقسام!$A$2:$A$14,0)),"")</f>
        <v>الحضور والغياب</v>
      </c>
      <c r="D75" s="4" t="s">
        <v>481</v>
      </c>
      <c r="E75" s="24" t="s">
        <v>482</v>
      </c>
      <c r="F75" s="24" t="s">
        <v>483</v>
      </c>
      <c r="G75" s="24" t="s">
        <v>484</v>
      </c>
      <c r="H75" s="25" t="s">
        <v>154</v>
      </c>
      <c r="I75" s="26" t="str">
        <f aca="false">IFERROR(INDEX(الأقسام!$H$2:$H$14,MATCH(B75,الأقسام!$A$2:$A$14,0))&amp;"","")</f>
        <v/>
      </c>
      <c r="J75" s="16" t="s">
        <v>22</v>
      </c>
      <c r="K75" s="17"/>
      <c r="L75" s="5"/>
      <c r="M75" s="16"/>
    </row>
    <row r="76" customFormat="false" ht="45" hidden="false" customHeight="true" outlineLevel="0" collapsed="false">
      <c r="A76" s="21" t="s">
        <v>485</v>
      </c>
      <c r="B76" s="22" t="s">
        <v>106</v>
      </c>
      <c r="C76" s="23" t="str">
        <f aca="false">IFERROR(INDEX(الأقسام!$B$2:$B$14,MATCH(B76,الأقسام!$A$2:$A$14,0)),"")</f>
        <v>الحضور والغياب</v>
      </c>
      <c r="D76" s="4" t="s">
        <v>486</v>
      </c>
      <c r="E76" s="24"/>
      <c r="F76" s="24" t="s">
        <v>487</v>
      </c>
      <c r="G76" s="24" t="s">
        <v>488</v>
      </c>
      <c r="H76" s="22" t="s">
        <v>35</v>
      </c>
      <c r="I76" s="26" t="str">
        <f aca="false">IFERROR(INDEX(الأقسام!$H$2:$H$14,MATCH(B76,الأقسام!$A$2:$A$14,0))&amp;"","")</f>
        <v/>
      </c>
      <c r="J76" s="16" t="s">
        <v>22</v>
      </c>
      <c r="K76" s="17"/>
      <c r="L76" s="5"/>
      <c r="M76" s="16"/>
    </row>
    <row r="77" customFormat="false" ht="45" hidden="false" customHeight="true" outlineLevel="0" collapsed="false">
      <c r="A77" s="21" t="s">
        <v>489</v>
      </c>
      <c r="B77" s="22" t="s">
        <v>106</v>
      </c>
      <c r="C77" s="23" t="str">
        <f aca="false">IFERROR(INDEX(الأقسام!$B$2:$B$14,MATCH(B77,الأقسام!$A$2:$A$14,0)),"")</f>
        <v>الحضور والغياب</v>
      </c>
      <c r="D77" s="4" t="s">
        <v>490</v>
      </c>
      <c r="E77" s="24"/>
      <c r="F77" s="24" t="s">
        <v>491</v>
      </c>
      <c r="G77" s="24" t="s">
        <v>492</v>
      </c>
      <c r="H77" s="22" t="s">
        <v>200</v>
      </c>
      <c r="I77" s="26" t="str">
        <f aca="false">IFERROR(INDEX(الأقسام!$H$2:$H$14,MATCH(B77,الأقسام!$A$2:$A$14,0))&amp;"","")</f>
        <v/>
      </c>
      <c r="J77" s="16" t="s">
        <v>22</v>
      </c>
      <c r="K77" s="17"/>
      <c r="L77" s="5"/>
      <c r="M77" s="16"/>
    </row>
    <row r="78" customFormat="false" ht="45" hidden="false" customHeight="true" outlineLevel="0" collapsed="false">
      <c r="A78" s="21" t="s">
        <v>493</v>
      </c>
      <c r="B78" s="22" t="s">
        <v>106</v>
      </c>
      <c r="C78" s="23" t="str">
        <f aca="false">IFERROR(INDEX(الأقسام!$B$2:$B$14,MATCH(B78,الأقسام!$A$2:$A$14,0)),"")</f>
        <v>الحضور والغياب</v>
      </c>
      <c r="D78" s="4" t="s">
        <v>494</v>
      </c>
      <c r="E78" s="24" t="s">
        <v>482</v>
      </c>
      <c r="F78" s="24" t="s">
        <v>495</v>
      </c>
      <c r="G78" s="24" t="s">
        <v>496</v>
      </c>
      <c r="H78" s="25" t="s">
        <v>154</v>
      </c>
      <c r="I78" s="26" t="str">
        <f aca="false">IFERROR(INDEX(الأقسام!$H$2:$H$14,MATCH(B78,الأقسام!$A$2:$A$14,0))&amp;"","")</f>
        <v/>
      </c>
      <c r="J78" s="16" t="s">
        <v>22</v>
      </c>
      <c r="K78" s="17"/>
      <c r="L78" s="5"/>
      <c r="M78" s="16"/>
    </row>
    <row r="79" customFormat="false" ht="45" hidden="false" customHeight="true" outlineLevel="0" collapsed="false">
      <c r="A79" s="21" t="s">
        <v>497</v>
      </c>
      <c r="B79" s="22" t="s">
        <v>106</v>
      </c>
      <c r="C79" s="23" t="str">
        <f aca="false">IFERROR(INDEX(الأقسام!$B$2:$B$14,MATCH(B79,الأقسام!$A$2:$A$14,0)),"")</f>
        <v>الحضور والغياب</v>
      </c>
      <c r="D79" s="4" t="s">
        <v>498</v>
      </c>
      <c r="E79" s="24" t="s">
        <v>499</v>
      </c>
      <c r="F79" s="24" t="s">
        <v>500</v>
      </c>
      <c r="G79" s="24" t="s">
        <v>501</v>
      </c>
      <c r="H79" s="22" t="s">
        <v>35</v>
      </c>
      <c r="I79" s="26" t="str">
        <f aca="false">IFERROR(INDEX(الأقسام!$H$2:$H$14,MATCH(B79,الأقسام!$A$2:$A$14,0))&amp;"","")</f>
        <v/>
      </c>
      <c r="J79" s="16" t="s">
        <v>22</v>
      </c>
      <c r="K79" s="17"/>
      <c r="L79" s="5"/>
      <c r="M79" s="16"/>
    </row>
    <row r="80" customFormat="false" ht="45" hidden="false" customHeight="true" outlineLevel="0" collapsed="false">
      <c r="A80" s="21" t="s">
        <v>502</v>
      </c>
      <c r="B80" s="22" t="s">
        <v>106</v>
      </c>
      <c r="C80" s="23" t="str">
        <f aca="false">IFERROR(INDEX(الأقسام!$B$2:$B$14,MATCH(B80,الأقسام!$A$2:$A$14,0)),"")</f>
        <v>الحضور والغياب</v>
      </c>
      <c r="D80" s="4" t="s">
        <v>503</v>
      </c>
      <c r="E80" s="24" t="s">
        <v>504</v>
      </c>
      <c r="F80" s="24" t="s">
        <v>505</v>
      </c>
      <c r="G80" s="24" t="s">
        <v>506</v>
      </c>
      <c r="H80" s="22" t="s">
        <v>35</v>
      </c>
      <c r="I80" s="26" t="str">
        <f aca="false">IFERROR(INDEX(الأقسام!$H$2:$H$14,MATCH(B80,الأقسام!$A$2:$A$14,0))&amp;"","")</f>
        <v/>
      </c>
      <c r="J80" s="16" t="s">
        <v>22</v>
      </c>
      <c r="K80" s="17"/>
      <c r="L80" s="5"/>
      <c r="M80" s="16"/>
    </row>
    <row r="81" customFormat="false" ht="45" hidden="false" customHeight="true" outlineLevel="0" collapsed="false">
      <c r="A81" s="21" t="s">
        <v>507</v>
      </c>
      <c r="B81" s="22" t="s">
        <v>106</v>
      </c>
      <c r="C81" s="23" t="str">
        <f aca="false">IFERROR(INDEX(الأقسام!$B$2:$B$14,MATCH(B81,الأقسام!$A$2:$A$14,0)),"")</f>
        <v>الحضور والغياب</v>
      </c>
      <c r="D81" s="4" t="s">
        <v>508</v>
      </c>
      <c r="E81" s="24"/>
      <c r="F81" s="24" t="s">
        <v>509</v>
      </c>
      <c r="G81" s="24" t="s">
        <v>510</v>
      </c>
      <c r="H81" s="22" t="s">
        <v>200</v>
      </c>
      <c r="I81" s="26" t="str">
        <f aca="false">IFERROR(INDEX(الأقسام!$H$2:$H$14,MATCH(B81,الأقسام!$A$2:$A$14,0))&amp;"","")</f>
        <v/>
      </c>
      <c r="J81" s="16" t="s">
        <v>22</v>
      </c>
      <c r="K81" s="17"/>
      <c r="L81" s="5"/>
      <c r="M81" s="16"/>
    </row>
    <row r="82" customFormat="false" ht="54" hidden="false" customHeight="true" outlineLevel="0" collapsed="false">
      <c r="A82" s="21" t="s">
        <v>511</v>
      </c>
      <c r="B82" s="22" t="s">
        <v>112</v>
      </c>
      <c r="C82" s="23" t="str">
        <f aca="false">IFERROR(INDEX(الأقسام!$B$2:$B$14,MATCH(B82,الأقسام!$A$2:$A$14,0)),"")</f>
        <v>رسوم الطلاب والدفعات</v>
      </c>
      <c r="D82" s="4" t="s">
        <v>512</v>
      </c>
      <c r="E82" s="24" t="s">
        <v>513</v>
      </c>
      <c r="F82" s="24" t="s">
        <v>514</v>
      </c>
      <c r="G82" s="24" t="s">
        <v>515</v>
      </c>
      <c r="H82" s="25" t="s">
        <v>154</v>
      </c>
      <c r="I82" s="26" t="str">
        <f aca="false">IFERROR(INDEX(الأقسام!$H$2:$H$14,MATCH(B82,الأقسام!$A$2:$A$14,0))&amp;"","")</f>
        <v/>
      </c>
      <c r="J82" s="16" t="s">
        <v>22</v>
      </c>
      <c r="K82" s="17"/>
      <c r="L82" s="5"/>
      <c r="M82" s="16"/>
    </row>
    <row r="83" customFormat="false" ht="54" hidden="false" customHeight="true" outlineLevel="0" collapsed="false">
      <c r="A83" s="21" t="s">
        <v>43</v>
      </c>
      <c r="B83" s="22" t="s">
        <v>112</v>
      </c>
      <c r="C83" s="23" t="str">
        <f aca="false">IFERROR(INDEX(الأقسام!$B$2:$B$14,MATCH(B83,الأقسام!$A$2:$A$14,0)),"")</f>
        <v>رسوم الطلاب والدفعات</v>
      </c>
      <c r="D83" s="4" t="s">
        <v>516</v>
      </c>
      <c r="E83" s="24" t="s">
        <v>517</v>
      </c>
      <c r="F83" s="24" t="s">
        <v>518</v>
      </c>
      <c r="G83" s="24" t="s">
        <v>519</v>
      </c>
      <c r="H83" s="25" t="s">
        <v>154</v>
      </c>
      <c r="I83" s="26" t="str">
        <f aca="false">IFERROR(INDEX(الأقسام!$H$2:$H$14,MATCH(B83,الأقسام!$A$2:$A$14,0))&amp;"","")</f>
        <v/>
      </c>
      <c r="J83" s="16" t="s">
        <v>22</v>
      </c>
      <c r="K83" s="17"/>
      <c r="L83" s="5"/>
      <c r="M83" s="16"/>
    </row>
    <row r="84" customFormat="false" ht="45" hidden="false" customHeight="true" outlineLevel="0" collapsed="false">
      <c r="A84" s="21" t="s">
        <v>520</v>
      </c>
      <c r="B84" s="22" t="s">
        <v>112</v>
      </c>
      <c r="C84" s="23" t="str">
        <f aca="false">IFERROR(INDEX(الأقسام!$B$2:$B$14,MATCH(B84,الأقسام!$A$2:$A$14,0)),"")</f>
        <v>رسوم الطلاب والدفعات</v>
      </c>
      <c r="D84" s="4" t="s">
        <v>521</v>
      </c>
      <c r="E84" s="24" t="s">
        <v>522</v>
      </c>
      <c r="F84" s="24" t="s">
        <v>523</v>
      </c>
      <c r="G84" s="24" t="s">
        <v>524</v>
      </c>
      <c r="H84" s="25" t="s">
        <v>154</v>
      </c>
      <c r="I84" s="26" t="str">
        <f aca="false">IFERROR(INDEX(الأقسام!$H$2:$H$14,MATCH(B84,الأقسام!$A$2:$A$14,0))&amp;"","")</f>
        <v/>
      </c>
      <c r="J84" s="16" t="s">
        <v>22</v>
      </c>
      <c r="K84" s="17"/>
      <c r="L84" s="5"/>
      <c r="M84" s="16"/>
    </row>
    <row r="85" customFormat="false" ht="45" hidden="false" customHeight="true" outlineLevel="0" collapsed="false">
      <c r="A85" s="21" t="s">
        <v>525</v>
      </c>
      <c r="B85" s="22" t="s">
        <v>112</v>
      </c>
      <c r="C85" s="23" t="str">
        <f aca="false">IFERROR(INDEX(الأقسام!$B$2:$B$14,MATCH(B85,الأقسام!$A$2:$A$14,0)),"")</f>
        <v>رسوم الطلاب والدفعات</v>
      </c>
      <c r="D85" s="4" t="s">
        <v>526</v>
      </c>
      <c r="E85" s="24" t="s">
        <v>517</v>
      </c>
      <c r="F85" s="24" t="s">
        <v>527</v>
      </c>
      <c r="G85" s="24" t="s">
        <v>528</v>
      </c>
      <c r="H85" s="25" t="s">
        <v>154</v>
      </c>
      <c r="I85" s="26" t="str">
        <f aca="false">IFERROR(INDEX(الأقسام!$H$2:$H$14,MATCH(B85,الأقسام!$A$2:$A$14,0))&amp;"","")</f>
        <v/>
      </c>
      <c r="J85" s="16" t="s">
        <v>22</v>
      </c>
      <c r="K85" s="17"/>
      <c r="L85" s="5"/>
      <c r="M85" s="16"/>
    </row>
    <row r="86" customFormat="false" ht="45" hidden="false" customHeight="true" outlineLevel="0" collapsed="false">
      <c r="A86" s="21" t="s">
        <v>529</v>
      </c>
      <c r="B86" s="22" t="s">
        <v>112</v>
      </c>
      <c r="C86" s="23" t="str">
        <f aca="false">IFERROR(INDEX(الأقسام!$B$2:$B$14,MATCH(B86,الأقسام!$A$2:$A$14,0)),"")</f>
        <v>رسوم الطلاب والدفعات</v>
      </c>
      <c r="D86" s="4" t="s">
        <v>530</v>
      </c>
      <c r="E86" s="24" t="s">
        <v>531</v>
      </c>
      <c r="F86" s="24" t="s">
        <v>532</v>
      </c>
      <c r="G86" s="24" t="s">
        <v>533</v>
      </c>
      <c r="H86" s="25" t="s">
        <v>154</v>
      </c>
      <c r="I86" s="26" t="str">
        <f aca="false">IFERROR(INDEX(الأقسام!$H$2:$H$14,MATCH(B86,الأقسام!$A$2:$A$14,0))&amp;"","")</f>
        <v/>
      </c>
      <c r="J86" s="16" t="s">
        <v>22</v>
      </c>
      <c r="K86" s="17"/>
      <c r="L86" s="5"/>
      <c r="M86" s="16"/>
    </row>
    <row r="87" customFormat="false" ht="69.75" hidden="false" customHeight="true" outlineLevel="0" collapsed="false">
      <c r="A87" s="21" t="s">
        <v>534</v>
      </c>
      <c r="B87" s="22" t="s">
        <v>112</v>
      </c>
      <c r="C87" s="23" t="str">
        <f aca="false">IFERROR(INDEX(الأقسام!$B$2:$B$14,MATCH(B87,الأقسام!$A$2:$A$14,0)),"")</f>
        <v>رسوم الطلاب والدفعات</v>
      </c>
      <c r="D87" s="4" t="s">
        <v>535</v>
      </c>
      <c r="E87" s="24"/>
      <c r="F87" s="24" t="s">
        <v>536</v>
      </c>
      <c r="G87" s="24" t="s">
        <v>537</v>
      </c>
      <c r="H87" s="22" t="s">
        <v>35</v>
      </c>
      <c r="I87" s="26" t="str">
        <f aca="false">IFERROR(INDEX(الأقسام!$H$2:$H$14,MATCH(B87,الأقسام!$A$2:$A$14,0))&amp;"","")</f>
        <v/>
      </c>
      <c r="J87" s="16" t="s">
        <v>22</v>
      </c>
      <c r="K87" s="17"/>
      <c r="L87" s="5"/>
      <c r="M87" s="16"/>
    </row>
    <row r="88" customFormat="false" ht="54" hidden="false" customHeight="true" outlineLevel="0" collapsed="false">
      <c r="A88" s="21" t="s">
        <v>538</v>
      </c>
      <c r="B88" s="22" t="s">
        <v>112</v>
      </c>
      <c r="C88" s="23" t="str">
        <f aca="false">IFERROR(INDEX(الأقسام!$B$2:$B$14,MATCH(B88,الأقسام!$A$2:$A$14,0)),"")</f>
        <v>رسوم الطلاب والدفعات</v>
      </c>
      <c r="D88" s="4" t="s">
        <v>539</v>
      </c>
      <c r="E88" s="24" t="s">
        <v>540</v>
      </c>
      <c r="F88" s="24" t="s">
        <v>541</v>
      </c>
      <c r="G88" s="24" t="s">
        <v>542</v>
      </c>
      <c r="H88" s="25" t="s">
        <v>154</v>
      </c>
      <c r="I88" s="26" t="str">
        <f aca="false">IFERROR(INDEX(الأقسام!$H$2:$H$14,MATCH(B88,الأقسام!$A$2:$A$14,0))&amp;"","")</f>
        <v/>
      </c>
      <c r="J88" s="16" t="s">
        <v>22</v>
      </c>
      <c r="K88" s="17"/>
      <c r="L88" s="5"/>
      <c r="M88" s="16"/>
    </row>
    <row r="89" customFormat="false" ht="45" hidden="false" customHeight="true" outlineLevel="0" collapsed="false">
      <c r="A89" s="21" t="s">
        <v>543</v>
      </c>
      <c r="B89" s="22" t="s">
        <v>112</v>
      </c>
      <c r="C89" s="23" t="str">
        <f aca="false">IFERROR(INDEX(الأقسام!$B$2:$B$14,MATCH(B89,الأقسام!$A$2:$A$14,0)),"")</f>
        <v>رسوم الطلاب والدفعات</v>
      </c>
      <c r="D89" s="4" t="s">
        <v>544</v>
      </c>
      <c r="E89" s="24" t="s">
        <v>540</v>
      </c>
      <c r="F89" s="24" t="s">
        <v>545</v>
      </c>
      <c r="G89" s="24" t="s">
        <v>546</v>
      </c>
      <c r="H89" s="25" t="s">
        <v>154</v>
      </c>
      <c r="I89" s="26" t="str">
        <f aca="false">IFERROR(INDEX(الأقسام!$H$2:$H$14,MATCH(B89,الأقسام!$A$2:$A$14,0))&amp;"","")</f>
        <v/>
      </c>
      <c r="J89" s="16" t="s">
        <v>22</v>
      </c>
      <c r="K89" s="17"/>
      <c r="L89" s="5"/>
      <c r="M89" s="16"/>
    </row>
    <row r="90" customFormat="false" ht="54" hidden="false" customHeight="true" outlineLevel="0" collapsed="false">
      <c r="A90" s="21" t="s">
        <v>547</v>
      </c>
      <c r="B90" s="22" t="s">
        <v>112</v>
      </c>
      <c r="C90" s="23" t="str">
        <f aca="false">IFERROR(INDEX(الأقسام!$B$2:$B$14,MATCH(B90,الأقسام!$A$2:$A$14,0)),"")</f>
        <v>رسوم الطلاب والدفعات</v>
      </c>
      <c r="D90" s="4" t="s">
        <v>548</v>
      </c>
      <c r="E90" s="24" t="s">
        <v>540</v>
      </c>
      <c r="F90" s="24" t="s">
        <v>549</v>
      </c>
      <c r="G90" s="24" t="s">
        <v>550</v>
      </c>
      <c r="H90" s="25" t="s">
        <v>154</v>
      </c>
      <c r="I90" s="26" t="str">
        <f aca="false">IFERROR(INDEX(الأقسام!$H$2:$H$14,MATCH(B90,الأقسام!$A$2:$A$14,0))&amp;"","")</f>
        <v/>
      </c>
      <c r="J90" s="16" t="s">
        <v>22</v>
      </c>
      <c r="K90" s="17"/>
      <c r="L90" s="5"/>
      <c r="M90" s="16"/>
    </row>
    <row r="91" customFormat="false" ht="45" hidden="false" customHeight="true" outlineLevel="0" collapsed="false">
      <c r="A91" s="21" t="s">
        <v>551</v>
      </c>
      <c r="B91" s="22" t="s">
        <v>112</v>
      </c>
      <c r="C91" s="23" t="str">
        <f aca="false">IFERROR(INDEX(الأقسام!$B$2:$B$14,MATCH(B91,الأقسام!$A$2:$A$14,0)),"")</f>
        <v>رسوم الطلاب والدفعات</v>
      </c>
      <c r="D91" s="4" t="s">
        <v>429</v>
      </c>
      <c r="E91" s="24" t="s">
        <v>552</v>
      </c>
      <c r="F91" s="24" t="s">
        <v>553</v>
      </c>
      <c r="G91" s="24" t="s">
        <v>554</v>
      </c>
      <c r="H91" s="22" t="s">
        <v>35</v>
      </c>
      <c r="I91" s="26" t="str">
        <f aca="false">IFERROR(INDEX(الأقسام!$H$2:$H$14,MATCH(B91,الأقسام!$A$2:$A$14,0))&amp;"","")</f>
        <v/>
      </c>
      <c r="J91" s="16" t="s">
        <v>22</v>
      </c>
      <c r="K91" s="17"/>
      <c r="L91" s="5"/>
      <c r="M91" s="16"/>
    </row>
    <row r="92" customFormat="false" ht="45" hidden="false" customHeight="true" outlineLevel="0" collapsed="false">
      <c r="A92" s="21" t="s">
        <v>555</v>
      </c>
      <c r="B92" s="22" t="s">
        <v>112</v>
      </c>
      <c r="C92" s="23" t="str">
        <f aca="false">IFERROR(INDEX(الأقسام!$B$2:$B$14,MATCH(B92,الأقسام!$A$2:$A$14,0)),"")</f>
        <v>رسوم الطلاب والدفعات</v>
      </c>
      <c r="D92" s="4" t="s">
        <v>556</v>
      </c>
      <c r="E92" s="24" t="s">
        <v>557</v>
      </c>
      <c r="F92" s="24" t="s">
        <v>558</v>
      </c>
      <c r="G92" s="24" t="s">
        <v>559</v>
      </c>
      <c r="H92" s="25" t="s">
        <v>154</v>
      </c>
      <c r="I92" s="26" t="str">
        <f aca="false">IFERROR(INDEX(الأقسام!$H$2:$H$14,MATCH(B92,الأقسام!$A$2:$A$14,0))&amp;"","")</f>
        <v/>
      </c>
      <c r="J92" s="16" t="s">
        <v>22</v>
      </c>
      <c r="K92" s="17"/>
      <c r="L92" s="5"/>
      <c r="M92" s="16"/>
    </row>
    <row r="93" customFormat="false" ht="45" hidden="false" customHeight="true" outlineLevel="0" collapsed="false">
      <c r="A93" s="21" t="s">
        <v>560</v>
      </c>
      <c r="B93" s="22" t="s">
        <v>112</v>
      </c>
      <c r="C93" s="23" t="str">
        <f aca="false">IFERROR(INDEX(الأقسام!$B$2:$B$14,MATCH(B93,الأقسام!$A$2:$A$14,0)),"")</f>
        <v>رسوم الطلاب والدفعات</v>
      </c>
      <c r="D93" s="4" t="s">
        <v>561</v>
      </c>
      <c r="E93" s="24" t="s">
        <v>562</v>
      </c>
      <c r="F93" s="24" t="s">
        <v>563</v>
      </c>
      <c r="G93" s="24" t="s">
        <v>564</v>
      </c>
      <c r="H93" s="22" t="s">
        <v>35</v>
      </c>
      <c r="I93" s="26" t="str">
        <f aca="false">IFERROR(INDEX(الأقسام!$H$2:$H$14,MATCH(B93,الأقسام!$A$2:$A$14,0))&amp;"","")</f>
        <v/>
      </c>
      <c r="J93" s="16" t="s">
        <v>22</v>
      </c>
      <c r="K93" s="17"/>
      <c r="L93" s="5"/>
      <c r="M93" s="16"/>
    </row>
    <row r="94" customFormat="false" ht="45" hidden="false" customHeight="true" outlineLevel="0" collapsed="false">
      <c r="A94" s="21" t="s">
        <v>565</v>
      </c>
      <c r="B94" s="22" t="s">
        <v>112</v>
      </c>
      <c r="C94" s="23" t="str">
        <f aca="false">IFERROR(INDEX(الأقسام!$B$2:$B$14,MATCH(B94,الأقسام!$A$2:$A$14,0)),"")</f>
        <v>رسوم الطلاب والدفعات</v>
      </c>
      <c r="D94" s="4" t="s">
        <v>566</v>
      </c>
      <c r="E94" s="24" t="s">
        <v>567</v>
      </c>
      <c r="F94" s="24" t="s">
        <v>568</v>
      </c>
      <c r="G94" s="24" t="s">
        <v>569</v>
      </c>
      <c r="H94" s="25" t="s">
        <v>154</v>
      </c>
      <c r="I94" s="26" t="str">
        <f aca="false">IFERROR(INDEX(الأقسام!$H$2:$H$14,MATCH(B94,الأقسام!$A$2:$A$14,0))&amp;"","")</f>
        <v/>
      </c>
      <c r="J94" s="16" t="s">
        <v>22</v>
      </c>
      <c r="K94" s="17"/>
      <c r="L94" s="5"/>
      <c r="M94" s="16"/>
    </row>
    <row r="95" customFormat="false" ht="45" hidden="false" customHeight="true" outlineLevel="0" collapsed="false">
      <c r="A95" s="21" t="s">
        <v>570</v>
      </c>
      <c r="B95" s="22" t="s">
        <v>112</v>
      </c>
      <c r="C95" s="23" t="str">
        <f aca="false">IFERROR(INDEX(الأقسام!$B$2:$B$14,MATCH(B95,الأقسام!$A$2:$A$14,0)),"")</f>
        <v>رسوم الطلاب والدفعات</v>
      </c>
      <c r="D95" s="4" t="s">
        <v>571</v>
      </c>
      <c r="E95" s="24" t="s">
        <v>572</v>
      </c>
      <c r="F95" s="24" t="s">
        <v>573</v>
      </c>
      <c r="G95" s="24" t="s">
        <v>574</v>
      </c>
      <c r="H95" s="22" t="s">
        <v>35</v>
      </c>
      <c r="I95" s="26" t="str">
        <f aca="false">IFERROR(INDEX(الأقسام!$H$2:$H$14,MATCH(B95,الأقسام!$A$2:$A$14,0))&amp;"","")</f>
        <v/>
      </c>
      <c r="J95" s="16" t="s">
        <v>22</v>
      </c>
      <c r="K95" s="17"/>
      <c r="L95" s="5"/>
      <c r="M95" s="16"/>
    </row>
    <row r="96" customFormat="false" ht="54" hidden="false" customHeight="true" outlineLevel="0" collapsed="false">
      <c r="A96" s="21" t="s">
        <v>575</v>
      </c>
      <c r="B96" s="22" t="s">
        <v>112</v>
      </c>
      <c r="C96" s="23" t="str">
        <f aca="false">IFERROR(INDEX(الأقسام!$B$2:$B$14,MATCH(B96,الأقسام!$A$2:$A$14,0)),"")</f>
        <v>رسوم الطلاب والدفعات</v>
      </c>
      <c r="D96" s="4" t="s">
        <v>576</v>
      </c>
      <c r="E96" s="24" t="s">
        <v>577</v>
      </c>
      <c r="F96" s="24" t="s">
        <v>578</v>
      </c>
      <c r="G96" s="24" t="s">
        <v>579</v>
      </c>
      <c r="H96" s="22" t="s">
        <v>35</v>
      </c>
      <c r="I96" s="26" t="str">
        <f aca="false">IFERROR(INDEX(الأقسام!$H$2:$H$14,MATCH(B96,الأقسام!$A$2:$A$14,0))&amp;"","")</f>
        <v/>
      </c>
      <c r="J96" s="16" t="s">
        <v>22</v>
      </c>
      <c r="K96" s="17"/>
      <c r="L96" s="5"/>
      <c r="M96" s="16"/>
    </row>
    <row r="97" customFormat="false" ht="45" hidden="false" customHeight="true" outlineLevel="0" collapsed="false">
      <c r="A97" s="21" t="s">
        <v>580</v>
      </c>
      <c r="B97" s="22" t="s">
        <v>112</v>
      </c>
      <c r="C97" s="23" t="str">
        <f aca="false">IFERROR(INDEX(الأقسام!$B$2:$B$14,MATCH(B97,الأقسام!$A$2:$A$14,0)),"")</f>
        <v>رسوم الطلاب والدفعات</v>
      </c>
      <c r="D97" s="4" t="s">
        <v>581</v>
      </c>
      <c r="E97" s="24" t="s">
        <v>582</v>
      </c>
      <c r="F97" s="24" t="s">
        <v>583</v>
      </c>
      <c r="G97" s="24" t="s">
        <v>584</v>
      </c>
      <c r="H97" s="22" t="s">
        <v>35</v>
      </c>
      <c r="I97" s="26" t="str">
        <f aca="false">IFERROR(INDEX(الأقسام!$H$2:$H$14,MATCH(B97,الأقسام!$A$2:$A$14,0))&amp;"","")</f>
        <v/>
      </c>
      <c r="J97" s="16" t="s">
        <v>22</v>
      </c>
      <c r="K97" s="17"/>
      <c r="L97" s="5"/>
      <c r="M97" s="16"/>
    </row>
    <row r="98" customFormat="false" ht="45" hidden="false" customHeight="true" outlineLevel="0" collapsed="false">
      <c r="A98" s="21" t="s">
        <v>585</v>
      </c>
      <c r="B98" s="22" t="s">
        <v>112</v>
      </c>
      <c r="C98" s="23" t="str">
        <f aca="false">IFERROR(INDEX(الأقسام!$B$2:$B$14,MATCH(B98,الأقسام!$A$2:$A$14,0)),"")</f>
        <v>رسوم الطلاب والدفعات</v>
      </c>
      <c r="D98" s="4" t="s">
        <v>586</v>
      </c>
      <c r="E98" s="24" t="s">
        <v>540</v>
      </c>
      <c r="F98" s="24" t="s">
        <v>587</v>
      </c>
      <c r="G98" s="24" t="s">
        <v>588</v>
      </c>
      <c r="H98" s="25" t="s">
        <v>154</v>
      </c>
      <c r="I98" s="26" t="str">
        <f aca="false">IFERROR(INDEX(الأقسام!$H$2:$H$14,MATCH(B98,الأقسام!$A$2:$A$14,0))&amp;"","")</f>
        <v/>
      </c>
      <c r="J98" s="16" t="s">
        <v>22</v>
      </c>
      <c r="K98" s="17"/>
      <c r="L98" s="5"/>
      <c r="M98" s="16"/>
    </row>
    <row r="99" customFormat="false" ht="45" hidden="false" customHeight="true" outlineLevel="0" collapsed="false">
      <c r="A99" s="21" t="s">
        <v>589</v>
      </c>
      <c r="B99" s="22" t="s">
        <v>112</v>
      </c>
      <c r="C99" s="23" t="str">
        <f aca="false">IFERROR(INDEX(الأقسام!$B$2:$B$14,MATCH(B99,الأقسام!$A$2:$A$14,0)),"")</f>
        <v>رسوم الطلاب والدفعات</v>
      </c>
      <c r="D99" s="4" t="s">
        <v>590</v>
      </c>
      <c r="E99" s="24" t="s">
        <v>591</v>
      </c>
      <c r="F99" s="24" t="s">
        <v>592</v>
      </c>
      <c r="G99" s="24" t="s">
        <v>593</v>
      </c>
      <c r="H99" s="22" t="s">
        <v>35</v>
      </c>
      <c r="I99" s="26" t="str">
        <f aca="false">IFERROR(INDEX(الأقسام!$H$2:$H$14,MATCH(B99,الأقسام!$A$2:$A$14,0))&amp;"","")</f>
        <v/>
      </c>
      <c r="J99" s="16" t="s">
        <v>22</v>
      </c>
      <c r="K99" s="17"/>
      <c r="L99" s="5"/>
      <c r="M99" s="16"/>
    </row>
    <row r="100" customFormat="false" ht="45" hidden="false" customHeight="true" outlineLevel="0" collapsed="false">
      <c r="A100" s="21" t="s">
        <v>594</v>
      </c>
      <c r="B100" s="22" t="s">
        <v>112</v>
      </c>
      <c r="C100" s="23" t="str">
        <f aca="false">IFERROR(INDEX(الأقسام!$B$2:$B$14,MATCH(B100,الأقسام!$A$2:$A$14,0)),"")</f>
        <v>رسوم الطلاب والدفعات</v>
      </c>
      <c r="D100" s="4" t="s">
        <v>595</v>
      </c>
      <c r="E100" s="24" t="s">
        <v>596</v>
      </c>
      <c r="F100" s="24" t="s">
        <v>597</v>
      </c>
      <c r="G100" s="24" t="s">
        <v>598</v>
      </c>
      <c r="H100" s="22" t="s">
        <v>200</v>
      </c>
      <c r="I100" s="26" t="str">
        <f aca="false">IFERROR(INDEX(الأقسام!$H$2:$H$14,MATCH(B100,الأقسام!$A$2:$A$14,0))&amp;"","")</f>
        <v/>
      </c>
      <c r="J100" s="16" t="s">
        <v>22</v>
      </c>
      <c r="K100" s="17"/>
      <c r="L100" s="5"/>
      <c r="M100" s="16"/>
    </row>
    <row r="101" customFormat="false" ht="45" hidden="false" customHeight="true" outlineLevel="0" collapsed="false">
      <c r="A101" s="21" t="s">
        <v>599</v>
      </c>
      <c r="B101" s="22" t="s">
        <v>112</v>
      </c>
      <c r="C101" s="23" t="str">
        <f aca="false">IFERROR(INDEX(الأقسام!$B$2:$B$14,MATCH(B101,الأقسام!$A$2:$A$14,0)),"")</f>
        <v>رسوم الطلاب والدفعات</v>
      </c>
      <c r="D101" s="4" t="s">
        <v>600</v>
      </c>
      <c r="E101" s="24" t="s">
        <v>601</v>
      </c>
      <c r="F101" s="24" t="s">
        <v>602</v>
      </c>
      <c r="G101" s="24" t="s">
        <v>603</v>
      </c>
      <c r="H101" s="22" t="s">
        <v>200</v>
      </c>
      <c r="I101" s="26" t="str">
        <f aca="false">IFERROR(INDEX(الأقسام!$H$2:$H$14,MATCH(B101,الأقسام!$A$2:$A$14,0))&amp;"","")</f>
        <v/>
      </c>
      <c r="J101" s="16" t="s">
        <v>22</v>
      </c>
      <c r="K101" s="17"/>
      <c r="L101" s="5"/>
      <c r="M101" s="16"/>
    </row>
    <row r="102" customFormat="false" ht="45" hidden="false" customHeight="true" outlineLevel="0" collapsed="false">
      <c r="A102" s="21" t="s">
        <v>604</v>
      </c>
      <c r="B102" s="22" t="s">
        <v>112</v>
      </c>
      <c r="C102" s="23" t="str">
        <f aca="false">IFERROR(INDEX(الأقسام!$B$2:$B$14,MATCH(B102,الأقسام!$A$2:$A$14,0)),"")</f>
        <v>رسوم الطلاب والدفعات</v>
      </c>
      <c r="D102" s="4" t="s">
        <v>605</v>
      </c>
      <c r="E102" s="24" t="s">
        <v>606</v>
      </c>
      <c r="F102" s="24" t="s">
        <v>607</v>
      </c>
      <c r="G102" s="24" t="s">
        <v>608</v>
      </c>
      <c r="H102" s="22" t="s">
        <v>35</v>
      </c>
      <c r="I102" s="26" t="str">
        <f aca="false">IFERROR(INDEX(الأقسام!$H$2:$H$14,MATCH(B102,الأقسام!$A$2:$A$14,0))&amp;"","")</f>
        <v/>
      </c>
      <c r="J102" s="16" t="s">
        <v>22</v>
      </c>
      <c r="K102" s="17"/>
      <c r="L102" s="5"/>
      <c r="M102" s="16"/>
    </row>
    <row r="103" customFormat="false" ht="69.75" hidden="false" customHeight="true" outlineLevel="0" collapsed="false">
      <c r="A103" s="21" t="s">
        <v>609</v>
      </c>
      <c r="B103" s="22" t="s">
        <v>118</v>
      </c>
      <c r="C103" s="23" t="str">
        <f aca="false">IFERROR(INDEX(الأقسام!$B$2:$B$14,MATCH(B103,الأقسام!$A$2:$A$14,0)),"")</f>
        <v>المداخيل والمصاريف ولوحة التحكم المالية</v>
      </c>
      <c r="D103" s="4" t="s">
        <v>610</v>
      </c>
      <c r="E103" s="24" t="s">
        <v>611</v>
      </c>
      <c r="F103" s="24" t="s">
        <v>612</v>
      </c>
      <c r="G103" s="24" t="s">
        <v>613</v>
      </c>
      <c r="H103" s="25" t="s">
        <v>154</v>
      </c>
      <c r="I103" s="26" t="str">
        <f aca="false">IFERROR(INDEX(الأقسام!$H$2:$H$14,MATCH(B103,الأقسام!$A$2:$A$14,0))&amp;"","")</f>
        <v/>
      </c>
      <c r="J103" s="16" t="s">
        <v>22</v>
      </c>
      <c r="K103" s="17"/>
      <c r="L103" s="5"/>
      <c r="M103" s="16"/>
    </row>
    <row r="104" customFormat="false" ht="45" hidden="false" customHeight="true" outlineLevel="0" collapsed="false">
      <c r="A104" s="21" t="s">
        <v>614</v>
      </c>
      <c r="B104" s="22" t="s">
        <v>118</v>
      </c>
      <c r="C104" s="23" t="str">
        <f aca="false">IFERROR(INDEX(الأقسام!$B$2:$B$14,MATCH(B104,الأقسام!$A$2:$A$14,0)),"")</f>
        <v>المداخيل والمصاريف ولوحة التحكم المالية</v>
      </c>
      <c r="D104" s="4" t="s">
        <v>615</v>
      </c>
      <c r="E104" s="24"/>
      <c r="F104" s="24" t="s">
        <v>616</v>
      </c>
      <c r="G104" s="24" t="s">
        <v>617</v>
      </c>
      <c r="H104" s="22" t="s">
        <v>35</v>
      </c>
      <c r="I104" s="26" t="str">
        <f aca="false">IFERROR(INDEX(الأقسام!$H$2:$H$14,MATCH(B104,الأقسام!$A$2:$A$14,0))&amp;"","")</f>
        <v/>
      </c>
      <c r="J104" s="16" t="s">
        <v>22</v>
      </c>
      <c r="K104" s="17"/>
      <c r="L104" s="5"/>
      <c r="M104" s="16"/>
    </row>
    <row r="105" customFormat="false" ht="69.75" hidden="false" customHeight="true" outlineLevel="0" collapsed="false">
      <c r="A105" s="21" t="s">
        <v>618</v>
      </c>
      <c r="B105" s="22" t="s">
        <v>118</v>
      </c>
      <c r="C105" s="23" t="str">
        <f aca="false">IFERROR(INDEX(الأقسام!$B$2:$B$14,MATCH(B105,الأقسام!$A$2:$A$14,0)),"")</f>
        <v>المداخيل والمصاريف ولوحة التحكم المالية</v>
      </c>
      <c r="D105" s="4" t="s">
        <v>619</v>
      </c>
      <c r="E105" s="24"/>
      <c r="F105" s="24" t="s">
        <v>620</v>
      </c>
      <c r="G105" s="24" t="s">
        <v>621</v>
      </c>
      <c r="H105" s="25" t="s">
        <v>154</v>
      </c>
      <c r="I105" s="26" t="str">
        <f aca="false">IFERROR(INDEX(الأقسام!$H$2:$H$14,MATCH(B105,الأقسام!$A$2:$A$14,0))&amp;"","")</f>
        <v/>
      </c>
      <c r="J105" s="16" t="s">
        <v>22</v>
      </c>
      <c r="K105" s="17"/>
      <c r="L105" s="5"/>
      <c r="M105" s="16"/>
    </row>
    <row r="106" customFormat="false" ht="54" hidden="false" customHeight="true" outlineLevel="0" collapsed="false">
      <c r="A106" s="21" t="s">
        <v>622</v>
      </c>
      <c r="B106" s="22" t="s">
        <v>118</v>
      </c>
      <c r="C106" s="23" t="str">
        <f aca="false">IFERROR(INDEX(الأقسام!$B$2:$B$14,MATCH(B106,الأقسام!$A$2:$A$14,0)),"")</f>
        <v>المداخيل والمصاريف ولوحة التحكم المالية</v>
      </c>
      <c r="D106" s="4" t="s">
        <v>623</v>
      </c>
      <c r="E106" s="24"/>
      <c r="F106" s="24" t="s">
        <v>624</v>
      </c>
      <c r="G106" s="24" t="s">
        <v>625</v>
      </c>
      <c r="H106" s="25" t="s">
        <v>154</v>
      </c>
      <c r="I106" s="26" t="str">
        <f aca="false">IFERROR(INDEX(الأقسام!$H$2:$H$14,MATCH(B106,الأقسام!$A$2:$A$14,0))&amp;"","")</f>
        <v/>
      </c>
      <c r="J106" s="16" t="s">
        <v>22</v>
      </c>
      <c r="K106" s="17"/>
      <c r="L106" s="5"/>
      <c r="M106" s="16"/>
    </row>
    <row r="107" customFormat="false" ht="45" hidden="false" customHeight="true" outlineLevel="0" collapsed="false">
      <c r="A107" s="21" t="s">
        <v>626</v>
      </c>
      <c r="B107" s="22" t="s">
        <v>118</v>
      </c>
      <c r="C107" s="23" t="str">
        <f aca="false">IFERROR(INDEX(الأقسام!$B$2:$B$14,MATCH(B107,الأقسام!$A$2:$A$14,0)),"")</f>
        <v>المداخيل والمصاريف ولوحة التحكم المالية</v>
      </c>
      <c r="D107" s="4" t="s">
        <v>530</v>
      </c>
      <c r="E107" s="24" t="s">
        <v>627</v>
      </c>
      <c r="F107" s="24" t="s">
        <v>628</v>
      </c>
      <c r="G107" s="24" t="s">
        <v>629</v>
      </c>
      <c r="H107" s="25" t="s">
        <v>154</v>
      </c>
      <c r="I107" s="26" t="str">
        <f aca="false">IFERROR(INDEX(الأقسام!$H$2:$H$14,MATCH(B107,الأقسام!$A$2:$A$14,0))&amp;"","")</f>
        <v/>
      </c>
      <c r="J107" s="16" t="s">
        <v>22</v>
      </c>
      <c r="K107" s="17"/>
      <c r="L107" s="5"/>
      <c r="M107" s="16"/>
    </row>
    <row r="108" customFormat="false" ht="45" hidden="false" customHeight="true" outlineLevel="0" collapsed="false">
      <c r="A108" s="21" t="s">
        <v>630</v>
      </c>
      <c r="B108" s="22" t="s">
        <v>118</v>
      </c>
      <c r="C108" s="23" t="str">
        <f aca="false">IFERROR(INDEX(الأقسام!$B$2:$B$14,MATCH(B108,الأقسام!$A$2:$A$14,0)),"")</f>
        <v>المداخيل والمصاريف ولوحة التحكم المالية</v>
      </c>
      <c r="D108" s="4" t="s">
        <v>631</v>
      </c>
      <c r="E108" s="24" t="s">
        <v>632</v>
      </c>
      <c r="F108" s="24" t="s">
        <v>633</v>
      </c>
      <c r="G108" s="24" t="s">
        <v>634</v>
      </c>
      <c r="H108" s="22" t="s">
        <v>35</v>
      </c>
      <c r="I108" s="26" t="str">
        <f aca="false">IFERROR(INDEX(الأقسام!$H$2:$H$14,MATCH(B108,الأقسام!$A$2:$A$14,0))&amp;"","")</f>
        <v/>
      </c>
      <c r="J108" s="16" t="s">
        <v>22</v>
      </c>
      <c r="K108" s="17"/>
      <c r="L108" s="5"/>
      <c r="M108" s="16"/>
    </row>
    <row r="109" customFormat="false" ht="45" hidden="false" customHeight="true" outlineLevel="0" collapsed="false">
      <c r="A109" s="21" t="s">
        <v>635</v>
      </c>
      <c r="B109" s="22" t="s">
        <v>118</v>
      </c>
      <c r="C109" s="23" t="str">
        <f aca="false">IFERROR(INDEX(الأقسام!$B$2:$B$14,MATCH(B109,الأقسام!$A$2:$A$14,0)),"")</f>
        <v>المداخيل والمصاريف ولوحة التحكم المالية</v>
      </c>
      <c r="D109" s="4" t="s">
        <v>636</v>
      </c>
      <c r="E109" s="24" t="s">
        <v>632</v>
      </c>
      <c r="F109" s="24" t="s">
        <v>637</v>
      </c>
      <c r="G109" s="24" t="s">
        <v>638</v>
      </c>
      <c r="H109" s="25" t="s">
        <v>154</v>
      </c>
      <c r="I109" s="26" t="str">
        <f aca="false">IFERROR(INDEX(الأقسام!$H$2:$H$14,MATCH(B109,الأقسام!$A$2:$A$14,0))&amp;"","")</f>
        <v/>
      </c>
      <c r="J109" s="16" t="s">
        <v>22</v>
      </c>
      <c r="K109" s="17"/>
      <c r="L109" s="5"/>
      <c r="M109" s="16"/>
    </row>
    <row r="110" customFormat="false" ht="45" hidden="false" customHeight="true" outlineLevel="0" collapsed="false">
      <c r="A110" s="21" t="s">
        <v>639</v>
      </c>
      <c r="B110" s="22" t="s">
        <v>118</v>
      </c>
      <c r="C110" s="23" t="str">
        <f aca="false">IFERROR(INDEX(الأقسام!$B$2:$B$14,MATCH(B110,الأقسام!$A$2:$A$14,0)),"")</f>
        <v>المداخيل والمصاريف ولوحة التحكم المالية</v>
      </c>
      <c r="D110" s="4" t="s">
        <v>640</v>
      </c>
      <c r="E110" s="24" t="s">
        <v>632</v>
      </c>
      <c r="F110" s="24" t="s">
        <v>641</v>
      </c>
      <c r="G110" s="24" t="s">
        <v>642</v>
      </c>
      <c r="H110" s="25" t="s">
        <v>154</v>
      </c>
      <c r="I110" s="26" t="str">
        <f aca="false">IFERROR(INDEX(الأقسام!$H$2:$H$14,MATCH(B110,الأقسام!$A$2:$A$14,0))&amp;"","")</f>
        <v/>
      </c>
      <c r="J110" s="16" t="s">
        <v>22</v>
      </c>
      <c r="K110" s="17"/>
      <c r="L110" s="5"/>
      <c r="M110" s="16"/>
    </row>
    <row r="111" customFormat="false" ht="54" hidden="false" customHeight="true" outlineLevel="0" collapsed="false">
      <c r="A111" s="21" t="s">
        <v>643</v>
      </c>
      <c r="B111" s="22" t="s">
        <v>118</v>
      </c>
      <c r="C111" s="23" t="str">
        <f aca="false">IFERROR(INDEX(الأقسام!$B$2:$B$14,MATCH(B111,الأقسام!$A$2:$A$14,0)),"")</f>
        <v>المداخيل والمصاريف ولوحة التحكم المالية</v>
      </c>
      <c r="D111" s="4" t="s">
        <v>317</v>
      </c>
      <c r="E111" s="24" t="s">
        <v>644</v>
      </c>
      <c r="F111" s="24" t="s">
        <v>645</v>
      </c>
      <c r="G111" s="24" t="s">
        <v>646</v>
      </c>
      <c r="H111" s="22" t="s">
        <v>35</v>
      </c>
      <c r="I111" s="26" t="str">
        <f aca="false">IFERROR(INDEX(الأقسام!$H$2:$H$14,MATCH(B111,الأقسام!$A$2:$A$14,0))&amp;"","")</f>
        <v/>
      </c>
      <c r="J111" s="16" t="s">
        <v>22</v>
      </c>
      <c r="K111" s="17"/>
      <c r="L111" s="5"/>
      <c r="M111" s="16"/>
    </row>
    <row r="112" customFormat="false" ht="69.75" hidden="false" customHeight="true" outlineLevel="0" collapsed="false">
      <c r="A112" s="21" t="s">
        <v>647</v>
      </c>
      <c r="B112" s="22" t="s">
        <v>118</v>
      </c>
      <c r="C112" s="23" t="str">
        <f aca="false">IFERROR(INDEX(الأقسام!$B$2:$B$14,MATCH(B112,الأقسام!$A$2:$A$14,0)),"")</f>
        <v>المداخيل والمصاريف ولوحة التحكم المالية</v>
      </c>
      <c r="D112" s="4" t="s">
        <v>648</v>
      </c>
      <c r="E112" s="24"/>
      <c r="F112" s="24" t="s">
        <v>649</v>
      </c>
      <c r="G112" s="24" t="s">
        <v>650</v>
      </c>
      <c r="H112" s="22" t="s">
        <v>35</v>
      </c>
      <c r="I112" s="26" t="str">
        <f aca="false">IFERROR(INDEX(الأقسام!$H$2:$H$14,MATCH(B112,الأقسام!$A$2:$A$14,0))&amp;"","")</f>
        <v/>
      </c>
      <c r="J112" s="16" t="s">
        <v>22</v>
      </c>
      <c r="K112" s="17"/>
      <c r="L112" s="5"/>
      <c r="M112" s="16"/>
    </row>
    <row r="113" customFormat="false" ht="54" hidden="false" customHeight="true" outlineLevel="0" collapsed="false">
      <c r="A113" s="21" t="s">
        <v>651</v>
      </c>
      <c r="B113" s="22" t="s">
        <v>118</v>
      </c>
      <c r="C113" s="23" t="str">
        <f aca="false">IFERROR(INDEX(الأقسام!$B$2:$B$14,MATCH(B113,الأقسام!$A$2:$A$14,0)),"")</f>
        <v>المداخيل والمصاريف ولوحة التحكم المالية</v>
      </c>
      <c r="D113" s="4" t="s">
        <v>652</v>
      </c>
      <c r="E113" s="24" t="s">
        <v>653</v>
      </c>
      <c r="F113" s="24" t="s">
        <v>654</v>
      </c>
      <c r="G113" s="24" t="s">
        <v>655</v>
      </c>
      <c r="H113" s="25" t="s">
        <v>154</v>
      </c>
      <c r="I113" s="26" t="str">
        <f aca="false">IFERROR(INDEX(الأقسام!$H$2:$H$14,MATCH(B113,الأقسام!$A$2:$A$14,0))&amp;"","")</f>
        <v/>
      </c>
      <c r="J113" s="16" t="s">
        <v>22</v>
      </c>
      <c r="K113" s="17"/>
      <c r="L113" s="5"/>
      <c r="M113" s="16"/>
    </row>
    <row r="114" customFormat="false" ht="45" hidden="false" customHeight="true" outlineLevel="0" collapsed="false">
      <c r="A114" s="21" t="s">
        <v>656</v>
      </c>
      <c r="B114" s="22" t="s">
        <v>118</v>
      </c>
      <c r="C114" s="23" t="str">
        <f aca="false">IFERROR(INDEX(الأقسام!$B$2:$B$14,MATCH(B114,الأقسام!$A$2:$A$14,0)),"")</f>
        <v>المداخيل والمصاريف ولوحة التحكم المالية</v>
      </c>
      <c r="D114" s="4" t="s">
        <v>657</v>
      </c>
      <c r="E114" s="24"/>
      <c r="F114" s="24" t="s">
        <v>658</v>
      </c>
      <c r="G114" s="24" t="s">
        <v>659</v>
      </c>
      <c r="H114" s="22" t="s">
        <v>35</v>
      </c>
      <c r="I114" s="26" t="str">
        <f aca="false">IFERROR(INDEX(الأقسام!$H$2:$H$14,MATCH(B114,الأقسام!$A$2:$A$14,0))&amp;"","")</f>
        <v/>
      </c>
      <c r="J114" s="16" t="s">
        <v>22</v>
      </c>
      <c r="K114" s="17"/>
      <c r="L114" s="5"/>
      <c r="M114" s="16"/>
    </row>
    <row r="115" customFormat="false" ht="54" hidden="false" customHeight="true" outlineLevel="0" collapsed="false">
      <c r="A115" s="21" t="s">
        <v>660</v>
      </c>
      <c r="B115" s="22" t="s">
        <v>122</v>
      </c>
      <c r="C115" s="23" t="str">
        <f aca="false">IFERROR(INDEX(الأقسام!$B$2:$B$14,MATCH(B115,الأقسام!$A$2:$A$14,0)),"")</f>
        <v>الجرد والتبرعات العينية</v>
      </c>
      <c r="D115" s="4" t="s">
        <v>661</v>
      </c>
      <c r="E115" s="24" t="s">
        <v>184</v>
      </c>
      <c r="F115" s="24" t="s">
        <v>662</v>
      </c>
      <c r="G115" s="24" t="s">
        <v>663</v>
      </c>
      <c r="H115" s="25" t="s">
        <v>154</v>
      </c>
      <c r="I115" s="26" t="str">
        <f aca="false">IFERROR(INDEX(الأقسام!$H$2:$H$14,MATCH(B115,الأقسام!$A$2:$A$14,0))&amp;"","")</f>
        <v/>
      </c>
      <c r="J115" s="16" t="s">
        <v>22</v>
      </c>
      <c r="K115" s="17"/>
      <c r="L115" s="5"/>
      <c r="M115" s="16"/>
    </row>
    <row r="116" customFormat="false" ht="45" hidden="false" customHeight="true" outlineLevel="0" collapsed="false">
      <c r="A116" s="21" t="s">
        <v>664</v>
      </c>
      <c r="B116" s="22" t="s">
        <v>122</v>
      </c>
      <c r="C116" s="23" t="str">
        <f aca="false">IFERROR(INDEX(الأقسام!$B$2:$B$14,MATCH(B116,الأقسام!$A$2:$A$14,0)),"")</f>
        <v>الجرد والتبرعات العينية</v>
      </c>
      <c r="D116" s="4" t="s">
        <v>665</v>
      </c>
      <c r="E116" s="24"/>
      <c r="F116" s="24" t="s">
        <v>666</v>
      </c>
      <c r="G116" s="24" t="s">
        <v>667</v>
      </c>
      <c r="H116" s="25" t="s">
        <v>154</v>
      </c>
      <c r="I116" s="26" t="str">
        <f aca="false">IFERROR(INDEX(الأقسام!$H$2:$H$14,MATCH(B116,الأقسام!$A$2:$A$14,0))&amp;"","")</f>
        <v/>
      </c>
      <c r="J116" s="16" t="s">
        <v>22</v>
      </c>
      <c r="K116" s="17"/>
      <c r="L116" s="5"/>
      <c r="M116" s="16"/>
    </row>
    <row r="117" customFormat="false" ht="45" hidden="false" customHeight="true" outlineLevel="0" collapsed="false">
      <c r="A117" s="21" t="s">
        <v>668</v>
      </c>
      <c r="B117" s="22" t="s">
        <v>122</v>
      </c>
      <c r="C117" s="23" t="str">
        <f aca="false">IFERROR(INDEX(الأقسام!$B$2:$B$14,MATCH(B117,الأقسام!$A$2:$A$14,0)),"")</f>
        <v>الجرد والتبرعات العينية</v>
      </c>
      <c r="D117" s="4" t="s">
        <v>669</v>
      </c>
      <c r="E117" s="24" t="s">
        <v>670</v>
      </c>
      <c r="F117" s="24" t="s">
        <v>671</v>
      </c>
      <c r="G117" s="24" t="s">
        <v>672</v>
      </c>
      <c r="H117" s="22" t="s">
        <v>35</v>
      </c>
      <c r="I117" s="26" t="str">
        <f aca="false">IFERROR(INDEX(الأقسام!$H$2:$H$14,MATCH(B117,الأقسام!$A$2:$A$14,0))&amp;"","")</f>
        <v/>
      </c>
      <c r="J117" s="16" t="s">
        <v>22</v>
      </c>
      <c r="K117" s="17"/>
      <c r="L117" s="5"/>
      <c r="M117" s="16"/>
    </row>
    <row r="118" customFormat="false" ht="45" hidden="false" customHeight="true" outlineLevel="0" collapsed="false">
      <c r="A118" s="21" t="s">
        <v>673</v>
      </c>
      <c r="B118" s="22" t="s">
        <v>122</v>
      </c>
      <c r="C118" s="23" t="str">
        <f aca="false">IFERROR(INDEX(الأقسام!$B$2:$B$14,MATCH(B118,الأقسام!$A$2:$A$14,0)),"")</f>
        <v>الجرد والتبرعات العينية</v>
      </c>
      <c r="D118" s="4" t="s">
        <v>674</v>
      </c>
      <c r="E118" s="24"/>
      <c r="F118" s="24" t="s">
        <v>675</v>
      </c>
      <c r="G118" s="24" t="s">
        <v>676</v>
      </c>
      <c r="H118" s="22" t="s">
        <v>35</v>
      </c>
      <c r="I118" s="26" t="str">
        <f aca="false">IFERROR(INDEX(الأقسام!$H$2:$H$14,MATCH(B118,الأقسام!$A$2:$A$14,0))&amp;"","")</f>
        <v/>
      </c>
      <c r="J118" s="16" t="s">
        <v>22</v>
      </c>
      <c r="K118" s="17"/>
      <c r="L118" s="5"/>
      <c r="M118" s="16"/>
    </row>
    <row r="119" customFormat="false" ht="45" hidden="false" customHeight="true" outlineLevel="0" collapsed="false">
      <c r="A119" s="21" t="s">
        <v>677</v>
      </c>
      <c r="B119" s="22" t="s">
        <v>122</v>
      </c>
      <c r="C119" s="23" t="str">
        <f aca="false">IFERROR(INDEX(الأقسام!$B$2:$B$14,MATCH(B119,الأقسام!$A$2:$A$14,0)),"")</f>
        <v>الجرد والتبرعات العينية</v>
      </c>
      <c r="D119" s="4" t="s">
        <v>678</v>
      </c>
      <c r="E119" s="24" t="s">
        <v>670</v>
      </c>
      <c r="F119" s="24" t="s">
        <v>641</v>
      </c>
      <c r="G119" s="24" t="s">
        <v>679</v>
      </c>
      <c r="H119" s="22" t="s">
        <v>35</v>
      </c>
      <c r="I119" s="26" t="str">
        <f aca="false">IFERROR(INDEX(الأقسام!$H$2:$H$14,MATCH(B119,الأقسام!$A$2:$A$14,0))&amp;"","")</f>
        <v/>
      </c>
      <c r="J119" s="16" t="s">
        <v>22</v>
      </c>
      <c r="K119" s="17"/>
      <c r="L119" s="5"/>
      <c r="M119" s="16"/>
    </row>
    <row r="120" customFormat="false" ht="45" hidden="false" customHeight="true" outlineLevel="0" collapsed="false">
      <c r="A120" s="21" t="s">
        <v>680</v>
      </c>
      <c r="B120" s="22" t="s">
        <v>122</v>
      </c>
      <c r="C120" s="23" t="str">
        <f aca="false">IFERROR(INDEX(الأقسام!$B$2:$B$14,MATCH(B120,الأقسام!$A$2:$A$14,0)),"")</f>
        <v>الجرد والتبرعات العينية</v>
      </c>
      <c r="D120" s="4" t="s">
        <v>681</v>
      </c>
      <c r="E120" s="24" t="s">
        <v>682</v>
      </c>
      <c r="F120" s="24" t="s">
        <v>683</v>
      </c>
      <c r="G120" s="24" t="s">
        <v>684</v>
      </c>
      <c r="H120" s="22" t="s">
        <v>200</v>
      </c>
      <c r="I120" s="26" t="str">
        <f aca="false">IFERROR(INDEX(الأقسام!$H$2:$H$14,MATCH(B120,الأقسام!$A$2:$A$14,0))&amp;"","")</f>
        <v/>
      </c>
      <c r="J120" s="16" t="s">
        <v>22</v>
      </c>
      <c r="K120" s="17"/>
      <c r="L120" s="5"/>
      <c r="M120" s="16"/>
    </row>
    <row r="121" customFormat="false" ht="54" hidden="false" customHeight="true" outlineLevel="0" collapsed="false">
      <c r="A121" s="21" t="s">
        <v>685</v>
      </c>
      <c r="B121" s="22" t="s">
        <v>125</v>
      </c>
      <c r="C121" s="23" t="str">
        <f aca="false">IFERROR(INDEX(الأقسام!$B$2:$B$14,MATCH(B121,الأقسام!$A$2:$A$14,0)),"")</f>
        <v>التقارير والتصدير</v>
      </c>
      <c r="D121" s="4" t="s">
        <v>686</v>
      </c>
      <c r="E121" s="24" t="s">
        <v>653</v>
      </c>
      <c r="F121" s="24" t="s">
        <v>687</v>
      </c>
      <c r="G121" s="24" t="s">
        <v>688</v>
      </c>
      <c r="H121" s="25" t="s">
        <v>154</v>
      </c>
      <c r="I121" s="26" t="str">
        <f aca="false">IFERROR(INDEX(الأقسام!$H$2:$H$14,MATCH(B121,الأقسام!$A$2:$A$14,0))&amp;"","")</f>
        <v/>
      </c>
      <c r="J121" s="16" t="s">
        <v>22</v>
      </c>
      <c r="K121" s="17"/>
      <c r="L121" s="5"/>
      <c r="M121" s="16"/>
    </row>
    <row r="122" customFormat="false" ht="45" hidden="false" customHeight="true" outlineLevel="0" collapsed="false">
      <c r="A122" s="21" t="s">
        <v>689</v>
      </c>
      <c r="B122" s="22" t="s">
        <v>125</v>
      </c>
      <c r="C122" s="23" t="str">
        <f aca="false">IFERROR(INDEX(الأقسام!$B$2:$B$14,MATCH(B122,الأقسام!$A$2:$A$14,0)),"")</f>
        <v>التقارير والتصدير</v>
      </c>
      <c r="D122" s="4" t="s">
        <v>690</v>
      </c>
      <c r="E122" s="24"/>
      <c r="F122" s="24" t="s">
        <v>691</v>
      </c>
      <c r="G122" s="24" t="s">
        <v>692</v>
      </c>
      <c r="H122" s="22" t="s">
        <v>35</v>
      </c>
      <c r="I122" s="26" t="str">
        <f aca="false">IFERROR(INDEX(الأقسام!$H$2:$H$14,MATCH(B122,الأقسام!$A$2:$A$14,0))&amp;"","")</f>
        <v/>
      </c>
      <c r="J122" s="16" t="s">
        <v>22</v>
      </c>
      <c r="K122" s="17"/>
      <c r="L122" s="5"/>
      <c r="M122" s="16"/>
    </row>
    <row r="123" customFormat="false" ht="45" hidden="false" customHeight="true" outlineLevel="0" collapsed="false">
      <c r="A123" s="21" t="s">
        <v>693</v>
      </c>
      <c r="B123" s="22" t="s">
        <v>125</v>
      </c>
      <c r="C123" s="23" t="str">
        <f aca="false">IFERROR(INDEX(الأقسام!$B$2:$B$14,MATCH(B123,الأقسام!$A$2:$A$14,0)),"")</f>
        <v>التقارير والتصدير</v>
      </c>
      <c r="D123" s="4" t="s">
        <v>694</v>
      </c>
      <c r="E123" s="24" t="s">
        <v>695</v>
      </c>
      <c r="F123" s="24" t="s">
        <v>696</v>
      </c>
      <c r="G123" s="24" t="s">
        <v>697</v>
      </c>
      <c r="H123" s="25" t="s">
        <v>154</v>
      </c>
      <c r="I123" s="26" t="str">
        <f aca="false">IFERROR(INDEX(الأقسام!$H$2:$H$14,MATCH(B123,الأقسام!$A$2:$A$14,0))&amp;"","")</f>
        <v/>
      </c>
      <c r="J123" s="16" t="s">
        <v>22</v>
      </c>
      <c r="K123" s="17"/>
      <c r="L123" s="5"/>
      <c r="M123" s="16"/>
    </row>
    <row r="124" customFormat="false" ht="45" hidden="false" customHeight="true" outlineLevel="0" collapsed="false">
      <c r="A124" s="21" t="s">
        <v>698</v>
      </c>
      <c r="B124" s="22" t="s">
        <v>125</v>
      </c>
      <c r="C124" s="23" t="str">
        <f aca="false">IFERROR(INDEX(الأقسام!$B$2:$B$14,MATCH(B124,الأقسام!$A$2:$A$14,0)),"")</f>
        <v>التقارير والتصدير</v>
      </c>
      <c r="D124" s="4" t="s">
        <v>699</v>
      </c>
      <c r="E124" s="24" t="s">
        <v>700</v>
      </c>
      <c r="F124" s="24" t="s">
        <v>701</v>
      </c>
      <c r="G124" s="24" t="s">
        <v>702</v>
      </c>
      <c r="H124" s="22" t="s">
        <v>35</v>
      </c>
      <c r="I124" s="26" t="str">
        <f aca="false">IFERROR(INDEX(الأقسام!$H$2:$H$14,MATCH(B124,الأقسام!$A$2:$A$14,0))&amp;"","")</f>
        <v/>
      </c>
      <c r="J124" s="16" t="s">
        <v>22</v>
      </c>
      <c r="K124" s="17"/>
      <c r="L124" s="5"/>
      <c r="M124" s="16"/>
    </row>
    <row r="125" customFormat="false" ht="45" hidden="false" customHeight="true" outlineLevel="0" collapsed="false">
      <c r="A125" s="21" t="s">
        <v>703</v>
      </c>
      <c r="B125" s="22" t="s">
        <v>125</v>
      </c>
      <c r="C125" s="23" t="str">
        <f aca="false">IFERROR(INDEX(الأقسام!$B$2:$B$14,MATCH(B125,الأقسام!$A$2:$A$14,0)),"")</f>
        <v>التقارير والتصدير</v>
      </c>
      <c r="D125" s="4" t="s">
        <v>704</v>
      </c>
      <c r="E125" s="24"/>
      <c r="F125" s="24" t="s">
        <v>705</v>
      </c>
      <c r="G125" s="24" t="s">
        <v>706</v>
      </c>
      <c r="H125" s="22" t="s">
        <v>200</v>
      </c>
      <c r="I125" s="26" t="str">
        <f aca="false">IFERROR(INDEX(الأقسام!$H$2:$H$14,MATCH(B125,الأقسام!$A$2:$A$14,0))&amp;"","")</f>
        <v/>
      </c>
      <c r="J125" s="16" t="s">
        <v>22</v>
      </c>
      <c r="K125" s="17"/>
      <c r="L125" s="5"/>
      <c r="M125" s="16"/>
    </row>
    <row r="126" customFormat="false" ht="45" hidden="false" customHeight="true" outlineLevel="0" collapsed="false">
      <c r="A126" s="21" t="s">
        <v>707</v>
      </c>
      <c r="B126" s="22" t="s">
        <v>125</v>
      </c>
      <c r="C126" s="23" t="str">
        <f aca="false">IFERROR(INDEX(الأقسام!$B$2:$B$14,MATCH(B126,الأقسام!$A$2:$A$14,0)),"")</f>
        <v>التقارير والتصدير</v>
      </c>
      <c r="D126" s="4" t="s">
        <v>708</v>
      </c>
      <c r="E126" s="24" t="s">
        <v>409</v>
      </c>
      <c r="F126" s="24" t="s">
        <v>709</v>
      </c>
      <c r="G126" s="24" t="s">
        <v>710</v>
      </c>
      <c r="H126" s="22" t="s">
        <v>200</v>
      </c>
      <c r="I126" s="26" t="str">
        <f aca="false">IFERROR(INDEX(الأقسام!$H$2:$H$14,MATCH(B126,الأقسام!$A$2:$A$14,0))&amp;"","")</f>
        <v/>
      </c>
      <c r="J126" s="16" t="s">
        <v>22</v>
      </c>
      <c r="K126" s="17"/>
      <c r="L126" s="5"/>
      <c r="M126" s="16"/>
    </row>
    <row r="127" customFormat="false" ht="45" hidden="false" customHeight="true" outlineLevel="0" collapsed="false">
      <c r="A127" s="21" t="s">
        <v>711</v>
      </c>
      <c r="B127" s="22" t="s">
        <v>129</v>
      </c>
      <c r="C127" s="23" t="str">
        <f aca="false">IFERROR(INDEX(الأقسام!$B$2:$B$14,MATCH(B127,الأقسام!$A$2:$A$14,0)),"")</f>
        <v>النسخ الاحتياطي والاستعادة</v>
      </c>
      <c r="D127" s="4" t="s">
        <v>712</v>
      </c>
      <c r="E127" s="24" t="s">
        <v>713</v>
      </c>
      <c r="F127" s="24" t="s">
        <v>714</v>
      </c>
      <c r="G127" s="24" t="s">
        <v>715</v>
      </c>
      <c r="H127" s="22" t="s">
        <v>35</v>
      </c>
      <c r="I127" s="26" t="str">
        <f aca="false">IFERROR(INDEX(الأقسام!$H$2:$H$14,MATCH(B127,الأقسام!$A$2:$A$14,0))&amp;"","")</f>
        <v/>
      </c>
      <c r="J127" s="16" t="s">
        <v>22</v>
      </c>
      <c r="K127" s="17"/>
      <c r="L127" s="5"/>
      <c r="M127" s="16"/>
    </row>
    <row r="128" customFormat="false" ht="69.75" hidden="false" customHeight="true" outlineLevel="0" collapsed="false">
      <c r="A128" s="21" t="s">
        <v>716</v>
      </c>
      <c r="B128" s="22" t="s">
        <v>129</v>
      </c>
      <c r="C128" s="23" t="str">
        <f aca="false">IFERROR(INDEX(الأقسام!$B$2:$B$14,MATCH(B128,الأقسام!$A$2:$A$14,0)),"")</f>
        <v>النسخ الاحتياطي والاستعادة</v>
      </c>
      <c r="D128" s="4" t="s">
        <v>717</v>
      </c>
      <c r="E128" s="24"/>
      <c r="F128" s="24" t="s">
        <v>718</v>
      </c>
      <c r="G128" s="24" t="s">
        <v>719</v>
      </c>
      <c r="H128" s="25" t="s">
        <v>154</v>
      </c>
      <c r="I128" s="26" t="str">
        <f aca="false">IFERROR(INDEX(الأقسام!$H$2:$H$14,MATCH(B128,الأقسام!$A$2:$A$14,0))&amp;"","")</f>
        <v/>
      </c>
      <c r="J128" s="16" t="s">
        <v>22</v>
      </c>
      <c r="K128" s="17"/>
      <c r="L128" s="5"/>
      <c r="M128" s="16"/>
    </row>
    <row r="129" customFormat="false" ht="45" hidden="false" customHeight="true" outlineLevel="0" collapsed="false">
      <c r="A129" s="21" t="s">
        <v>720</v>
      </c>
      <c r="B129" s="22" t="s">
        <v>129</v>
      </c>
      <c r="C129" s="23" t="str">
        <f aca="false">IFERROR(INDEX(الأقسام!$B$2:$B$14,MATCH(B129,الأقسام!$A$2:$A$14,0)),"")</f>
        <v>النسخ الاحتياطي والاستعادة</v>
      </c>
      <c r="D129" s="4" t="s">
        <v>721</v>
      </c>
      <c r="E129" s="24" t="s">
        <v>722</v>
      </c>
      <c r="F129" s="24" t="s">
        <v>723</v>
      </c>
      <c r="G129" s="24" t="s">
        <v>724</v>
      </c>
      <c r="H129" s="22" t="s">
        <v>35</v>
      </c>
      <c r="I129" s="26" t="str">
        <f aca="false">IFERROR(INDEX(الأقسام!$H$2:$H$14,MATCH(B129,الأقسام!$A$2:$A$14,0))&amp;"","")</f>
        <v/>
      </c>
      <c r="J129" s="16" t="s">
        <v>22</v>
      </c>
      <c r="K129" s="17"/>
      <c r="L129" s="5"/>
      <c r="M129" s="16"/>
    </row>
    <row r="130" customFormat="false" ht="54" hidden="false" customHeight="true" outlineLevel="0" collapsed="false">
      <c r="A130" s="21" t="s">
        <v>725</v>
      </c>
      <c r="B130" s="22" t="s">
        <v>129</v>
      </c>
      <c r="C130" s="23" t="str">
        <f aca="false">IFERROR(INDEX(الأقسام!$B$2:$B$14,MATCH(B130,الأقسام!$A$2:$A$14,0)),"")</f>
        <v>النسخ الاحتياطي والاستعادة</v>
      </c>
      <c r="D130" s="4" t="s">
        <v>726</v>
      </c>
      <c r="E130" s="24"/>
      <c r="F130" s="24" t="s">
        <v>727</v>
      </c>
      <c r="G130" s="24" t="s">
        <v>728</v>
      </c>
      <c r="H130" s="22" t="s">
        <v>35</v>
      </c>
      <c r="I130" s="26" t="str">
        <f aca="false">IFERROR(INDEX(الأقسام!$H$2:$H$14,MATCH(B130,الأقسام!$A$2:$A$14,0))&amp;"","")</f>
        <v/>
      </c>
      <c r="J130" s="16" t="s">
        <v>22</v>
      </c>
      <c r="K130" s="17"/>
      <c r="L130" s="5"/>
      <c r="M130" s="16"/>
    </row>
    <row r="131" customFormat="false" ht="69.75" hidden="false" customHeight="true" outlineLevel="0" collapsed="false">
      <c r="A131" s="21" t="s">
        <v>729</v>
      </c>
      <c r="B131" s="22" t="s">
        <v>129</v>
      </c>
      <c r="C131" s="23" t="str">
        <f aca="false">IFERROR(INDEX(الأقسام!$B$2:$B$14,MATCH(B131,الأقسام!$A$2:$A$14,0)),"")</f>
        <v>النسخ الاحتياطي والاستعادة</v>
      </c>
      <c r="D131" s="4" t="s">
        <v>730</v>
      </c>
      <c r="E131" s="24" t="s">
        <v>731</v>
      </c>
      <c r="F131" s="24" t="s">
        <v>732</v>
      </c>
      <c r="G131" s="24" t="s">
        <v>733</v>
      </c>
      <c r="H131" s="25" t="s">
        <v>154</v>
      </c>
      <c r="I131" s="26" t="str">
        <f aca="false">IFERROR(INDEX(الأقسام!$H$2:$H$14,MATCH(B131,الأقسام!$A$2:$A$14,0))&amp;"","")</f>
        <v/>
      </c>
      <c r="J131" s="16" t="s">
        <v>22</v>
      </c>
      <c r="K131" s="17"/>
      <c r="L131" s="5"/>
      <c r="M131" s="16"/>
    </row>
    <row r="132" customFormat="false" ht="45" hidden="false" customHeight="true" outlineLevel="0" collapsed="false">
      <c r="A132" s="21" t="s">
        <v>734</v>
      </c>
      <c r="B132" s="22" t="s">
        <v>129</v>
      </c>
      <c r="C132" s="23" t="str">
        <f aca="false">IFERROR(INDEX(الأقسام!$B$2:$B$14,MATCH(B132,الأقسام!$A$2:$A$14,0)),"")</f>
        <v>النسخ الاحتياطي والاستعادة</v>
      </c>
      <c r="D132" s="4" t="s">
        <v>735</v>
      </c>
      <c r="E132" s="24"/>
      <c r="F132" s="24" t="s">
        <v>736</v>
      </c>
      <c r="G132" s="24" t="s">
        <v>737</v>
      </c>
      <c r="H132" s="22" t="s">
        <v>35</v>
      </c>
      <c r="I132" s="26" t="str">
        <f aca="false">IFERROR(INDEX(الأقسام!$H$2:$H$14,MATCH(B132,الأقسام!$A$2:$A$14,0))&amp;"","")</f>
        <v/>
      </c>
      <c r="J132" s="16" t="s">
        <v>22</v>
      </c>
      <c r="K132" s="17"/>
      <c r="L132" s="5"/>
      <c r="M132" s="16"/>
    </row>
    <row r="133" customFormat="false" ht="54" hidden="false" customHeight="true" outlineLevel="0" collapsed="false">
      <c r="A133" s="21" t="s">
        <v>738</v>
      </c>
      <c r="B133" s="22" t="s">
        <v>129</v>
      </c>
      <c r="C133" s="23" t="str">
        <f aca="false">IFERROR(INDEX(الأقسام!$B$2:$B$14,MATCH(B133,الأقسام!$A$2:$A$14,0)),"")</f>
        <v>النسخ الاحتياطي والاستعادة</v>
      </c>
      <c r="D133" s="4" t="s">
        <v>739</v>
      </c>
      <c r="E133" s="24" t="s">
        <v>740</v>
      </c>
      <c r="F133" s="24" t="s">
        <v>741</v>
      </c>
      <c r="G133" s="24" t="s">
        <v>742</v>
      </c>
      <c r="H133" s="22" t="s">
        <v>200</v>
      </c>
      <c r="I133" s="26" t="str">
        <f aca="false">IFERROR(INDEX(الأقسام!$H$2:$H$14,MATCH(B133,الأقسام!$A$2:$A$14,0))&amp;"","")</f>
        <v/>
      </c>
      <c r="J133" s="16" t="s">
        <v>22</v>
      </c>
      <c r="K133" s="17"/>
      <c r="L133" s="5"/>
      <c r="M133" s="16"/>
    </row>
    <row r="134" customFormat="false" ht="45" hidden="false" customHeight="true" outlineLevel="0" collapsed="false">
      <c r="A134" s="21" t="s">
        <v>743</v>
      </c>
      <c r="B134" s="22" t="s">
        <v>129</v>
      </c>
      <c r="C134" s="23" t="str">
        <f aca="false">IFERROR(INDEX(الأقسام!$B$2:$B$14,MATCH(B134,الأقسام!$A$2:$A$14,0)),"")</f>
        <v>النسخ الاحتياطي والاستعادة</v>
      </c>
      <c r="D134" s="4" t="s">
        <v>744</v>
      </c>
      <c r="E134" s="24" t="s">
        <v>745</v>
      </c>
      <c r="F134" s="24" t="s">
        <v>746</v>
      </c>
      <c r="G134" s="24" t="s">
        <v>747</v>
      </c>
      <c r="H134" s="22" t="s">
        <v>200</v>
      </c>
      <c r="I134" s="26" t="str">
        <f aca="false">IFERROR(INDEX(الأقسام!$H$2:$H$14,MATCH(B134,الأقسام!$A$2:$A$14,0))&amp;"","")</f>
        <v/>
      </c>
      <c r="J134" s="16" t="s">
        <v>22</v>
      </c>
      <c r="K134" s="17"/>
      <c r="L134" s="5"/>
      <c r="M134" s="16"/>
    </row>
    <row r="135" customFormat="false" ht="45" hidden="false" customHeight="true" outlineLevel="0" collapsed="false">
      <c r="A135" s="21" t="s">
        <v>748</v>
      </c>
      <c r="B135" s="22" t="s">
        <v>134</v>
      </c>
      <c r="C135" s="23" t="str">
        <f aca="false">IFERROR(INDEX(الأقسام!$B$2:$B$14,MATCH(B135,الأقسام!$A$2:$A$14,0)),"")</f>
        <v>الاستعمال العام والاستكشاف الحر</v>
      </c>
      <c r="D135" s="4" t="s">
        <v>749</v>
      </c>
      <c r="E135" s="24"/>
      <c r="F135" s="24" t="s">
        <v>750</v>
      </c>
      <c r="G135" s="24" t="s">
        <v>751</v>
      </c>
      <c r="H135" s="22" t="s">
        <v>35</v>
      </c>
      <c r="I135" s="26" t="str">
        <f aca="false">IFERROR(INDEX(الأقسام!$H$2:$H$14,MATCH(B135,الأقسام!$A$2:$A$14,0))&amp;"","")</f>
        <v/>
      </c>
      <c r="J135" s="16" t="s">
        <v>22</v>
      </c>
      <c r="K135" s="17"/>
      <c r="L135" s="5"/>
      <c r="M135" s="16"/>
    </row>
    <row r="136" customFormat="false" ht="54" hidden="false" customHeight="true" outlineLevel="0" collapsed="false">
      <c r="A136" s="21" t="s">
        <v>752</v>
      </c>
      <c r="B136" s="22" t="s">
        <v>134</v>
      </c>
      <c r="C136" s="23" t="str">
        <f aca="false">IFERROR(INDEX(الأقسام!$B$2:$B$14,MATCH(B136,الأقسام!$A$2:$A$14,0)),"")</f>
        <v>الاستعمال العام والاستكشاف الحر</v>
      </c>
      <c r="D136" s="4" t="s">
        <v>753</v>
      </c>
      <c r="E136" s="24"/>
      <c r="F136" s="24" t="s">
        <v>754</v>
      </c>
      <c r="G136" s="24" t="s">
        <v>755</v>
      </c>
      <c r="H136" s="22" t="s">
        <v>35</v>
      </c>
      <c r="I136" s="26" t="str">
        <f aca="false">IFERROR(INDEX(الأقسام!$H$2:$H$14,MATCH(B136,الأقسام!$A$2:$A$14,0))&amp;"","")</f>
        <v/>
      </c>
      <c r="J136" s="16" t="s">
        <v>22</v>
      </c>
      <c r="K136" s="17"/>
      <c r="L136" s="5"/>
      <c r="M136" s="16"/>
    </row>
    <row r="137" customFormat="false" ht="54" hidden="false" customHeight="true" outlineLevel="0" collapsed="false">
      <c r="A137" s="21" t="s">
        <v>756</v>
      </c>
      <c r="B137" s="22" t="s">
        <v>134</v>
      </c>
      <c r="C137" s="23" t="str">
        <f aca="false">IFERROR(INDEX(الأقسام!$B$2:$B$14,MATCH(B137,الأقسام!$A$2:$A$14,0)),"")</f>
        <v>الاستعمال العام والاستكشاف الحر</v>
      </c>
      <c r="D137" s="4" t="s">
        <v>757</v>
      </c>
      <c r="E137" s="24"/>
      <c r="F137" s="24" t="s">
        <v>758</v>
      </c>
      <c r="G137" s="24" t="s">
        <v>759</v>
      </c>
      <c r="H137" s="22" t="s">
        <v>35</v>
      </c>
      <c r="I137" s="26" t="str">
        <f aca="false">IFERROR(INDEX(الأقسام!$H$2:$H$14,MATCH(B137,الأقسام!$A$2:$A$14,0))&amp;"","")</f>
        <v/>
      </c>
      <c r="J137" s="16" t="s">
        <v>22</v>
      </c>
      <c r="K137" s="17"/>
      <c r="L137" s="5"/>
      <c r="M137" s="16"/>
    </row>
    <row r="138" customFormat="false" ht="45" hidden="false" customHeight="true" outlineLevel="0" collapsed="false">
      <c r="A138" s="21" t="s">
        <v>760</v>
      </c>
      <c r="B138" s="22" t="s">
        <v>134</v>
      </c>
      <c r="C138" s="23" t="str">
        <f aca="false">IFERROR(INDEX(الأقسام!$B$2:$B$14,MATCH(B138,الأقسام!$A$2:$A$14,0)),"")</f>
        <v>الاستعمال العام والاستكشاف الحر</v>
      </c>
      <c r="D138" s="4" t="s">
        <v>761</v>
      </c>
      <c r="E138" s="24" t="s">
        <v>762</v>
      </c>
      <c r="F138" s="24" t="s">
        <v>763</v>
      </c>
      <c r="G138" s="24" t="s">
        <v>764</v>
      </c>
      <c r="H138" s="22" t="s">
        <v>200</v>
      </c>
      <c r="I138" s="26" t="str">
        <f aca="false">IFERROR(INDEX(الأقسام!$H$2:$H$14,MATCH(B138,الأقسام!$A$2:$A$14,0))&amp;"","")</f>
        <v/>
      </c>
      <c r="J138" s="16" t="s">
        <v>22</v>
      </c>
      <c r="K138" s="17"/>
      <c r="L138" s="5"/>
      <c r="M138" s="16"/>
    </row>
    <row r="139" customFormat="false" ht="45" hidden="false" customHeight="true" outlineLevel="0" collapsed="false">
      <c r="A139" s="21" t="s">
        <v>765</v>
      </c>
      <c r="B139" s="22" t="s">
        <v>134</v>
      </c>
      <c r="C139" s="23" t="str">
        <f aca="false">IFERROR(INDEX(الأقسام!$B$2:$B$14,MATCH(B139,الأقسام!$A$2:$A$14,0)),"")</f>
        <v>الاستعمال العام والاستكشاف الحر</v>
      </c>
      <c r="D139" s="4" t="s">
        <v>766</v>
      </c>
      <c r="E139" s="24"/>
      <c r="F139" s="24" t="s">
        <v>767</v>
      </c>
      <c r="G139" s="24" t="s">
        <v>768</v>
      </c>
      <c r="H139" s="22" t="s">
        <v>35</v>
      </c>
      <c r="I139" s="26" t="str">
        <f aca="false">IFERROR(INDEX(الأقسام!$H$2:$H$14,MATCH(B139,الأقسام!$A$2:$A$14,0))&amp;"","")</f>
        <v/>
      </c>
      <c r="J139" s="16" t="s">
        <v>22</v>
      </c>
      <c r="K139" s="17"/>
      <c r="L139" s="5"/>
      <c r="M139" s="16"/>
    </row>
    <row r="140" customFormat="false" ht="45" hidden="false" customHeight="true" outlineLevel="0" collapsed="false">
      <c r="A140" s="21" t="s">
        <v>769</v>
      </c>
      <c r="B140" s="22" t="s">
        <v>134</v>
      </c>
      <c r="C140" s="23" t="str">
        <f aca="false">IFERROR(INDEX(الأقسام!$B$2:$B$14,MATCH(B140,الأقسام!$A$2:$A$14,0)),"")</f>
        <v>الاستعمال العام والاستكشاف الحر</v>
      </c>
      <c r="D140" s="4" t="s">
        <v>770</v>
      </c>
      <c r="E140" s="24"/>
      <c r="F140" s="24" t="s">
        <v>771</v>
      </c>
      <c r="G140" s="24" t="s">
        <v>772</v>
      </c>
      <c r="H140" s="22" t="s">
        <v>35</v>
      </c>
      <c r="I140" s="26" t="str">
        <f aca="false">IFERROR(INDEX(الأقسام!$H$2:$H$14,MATCH(B140,الأقسام!$A$2:$A$14,0))&amp;"","")</f>
        <v/>
      </c>
      <c r="J140" s="16" t="s">
        <v>22</v>
      </c>
      <c r="K140" s="17"/>
      <c r="L140" s="5"/>
      <c r="M140" s="16"/>
    </row>
  </sheetData>
  <autoFilter ref="A1:M140"/>
  <conditionalFormatting sqref="J2:J140">
    <cfRule type="expression" priority="2" aboveAverage="0" equalAverage="0" bottom="0" percent="0" rank="0" text="" dxfId="0">
      <formula>J2="نجح"</formula>
    </cfRule>
    <cfRule type="expression" priority="3" aboveAverage="0" equalAverage="0" bottom="0" percent="0" rank="0" text="" dxfId="1">
      <formula>J2="فشل"</formula>
    </cfRule>
    <cfRule type="expression" priority="4" aboveAverage="0" equalAverage="0" bottom="0" percent="0" rank="0" text="" dxfId="2">
      <formula>J2="متوقف"</formula>
    </cfRule>
    <cfRule type="expression" priority="5" aboveAverage="0" equalAverage="0" bottom="0" percent="0" rank="0" text="" dxfId="3">
      <formula>J2="قيد التنفيذ"</formula>
    </cfRule>
  </conditionalFormatting>
  <conditionalFormatting sqref="H2:H140">
    <cfRule type="cellIs" priority="6" operator="equal" aboveAverage="0" equalAverage="0" bottom="0" percent="0" rank="0" text="" dxfId="11">
      <formula>"أساسي"</formula>
    </cfRule>
  </conditionalFormatting>
  <dataValidations count="1">
    <dataValidation allowBlank="true" error="اختر قيمة من القائمة" errorStyle="stop" errorTitle="قيمة غير صالحة" operator="between" prompt="اختر حالة الاختبار" showDropDown="false" showErrorMessage="false" showInputMessage="true" sqref="J2:J140" type="list">
      <formula1>"لم يبدأ,قيد التنفيذ,نجح,فشل,متوقف"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40"/>
    <col collapsed="false" customWidth="true" hidden="false" outlineLevel="0" max="8" min="8" style="0" width="34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9.75" hidden="false" customHeight="true" outlineLevel="0" collapsed="false">
      <c r="A1" s="13" t="s">
        <v>148</v>
      </c>
      <c r="B1" s="13" t="s">
        <v>773</v>
      </c>
      <c r="C1" s="13" t="s">
        <v>774</v>
      </c>
      <c r="D1" s="13" t="s">
        <v>42</v>
      </c>
      <c r="E1" s="13" t="s">
        <v>50</v>
      </c>
      <c r="F1" s="13" t="s">
        <v>775</v>
      </c>
      <c r="G1" s="13" t="s">
        <v>46</v>
      </c>
      <c r="H1" s="13" t="s">
        <v>48</v>
      </c>
      <c r="I1" s="13" t="s">
        <v>776</v>
      </c>
      <c r="J1" s="13" t="s">
        <v>777</v>
      </c>
      <c r="K1" s="13" t="s">
        <v>778</v>
      </c>
    </row>
    <row r="2" customFormat="false" ht="42" hidden="false" customHeight="true" outlineLevel="0" collapsed="false">
      <c r="A2" s="27" t="s">
        <v>779</v>
      </c>
      <c r="B2" s="17"/>
      <c r="C2" s="16"/>
      <c r="D2" s="16"/>
      <c r="E2" s="16"/>
      <c r="F2" s="5"/>
      <c r="G2" s="5"/>
      <c r="H2" s="5"/>
      <c r="I2" s="5"/>
      <c r="J2" s="15"/>
      <c r="K2" s="7"/>
    </row>
    <row r="3" customFormat="false" ht="42" hidden="false" customHeight="true" outlineLevel="0" collapsed="false">
      <c r="A3" s="27" t="s">
        <v>780</v>
      </c>
      <c r="B3" s="17"/>
      <c r="C3" s="16"/>
      <c r="D3" s="16"/>
      <c r="E3" s="16"/>
      <c r="F3" s="5"/>
      <c r="G3" s="5"/>
      <c r="H3" s="5"/>
      <c r="I3" s="5"/>
      <c r="J3" s="15"/>
      <c r="K3" s="7"/>
    </row>
    <row r="4" customFormat="false" ht="42" hidden="false" customHeight="true" outlineLevel="0" collapsed="false">
      <c r="A4" s="27" t="s">
        <v>781</v>
      </c>
      <c r="B4" s="17"/>
      <c r="C4" s="16"/>
      <c r="D4" s="16"/>
      <c r="E4" s="16"/>
      <c r="F4" s="5"/>
      <c r="G4" s="5"/>
      <c r="H4" s="5"/>
      <c r="I4" s="5"/>
      <c r="J4" s="15"/>
      <c r="K4" s="7"/>
    </row>
    <row r="5" customFormat="false" ht="42" hidden="false" customHeight="true" outlineLevel="0" collapsed="false">
      <c r="A5" s="27" t="s">
        <v>782</v>
      </c>
      <c r="B5" s="17"/>
      <c r="C5" s="16"/>
      <c r="D5" s="16"/>
      <c r="E5" s="16"/>
      <c r="F5" s="5"/>
      <c r="G5" s="5"/>
      <c r="H5" s="5"/>
      <c r="I5" s="5"/>
      <c r="J5" s="15"/>
      <c r="K5" s="7"/>
    </row>
    <row r="6" customFormat="false" ht="42" hidden="false" customHeight="true" outlineLevel="0" collapsed="false">
      <c r="A6" s="27" t="s">
        <v>783</v>
      </c>
      <c r="B6" s="17"/>
      <c r="C6" s="16"/>
      <c r="D6" s="16"/>
      <c r="E6" s="16"/>
      <c r="F6" s="5"/>
      <c r="G6" s="5"/>
      <c r="H6" s="5"/>
      <c r="I6" s="5"/>
      <c r="J6" s="15"/>
      <c r="K6" s="7"/>
    </row>
    <row r="7" customFormat="false" ht="42" hidden="false" customHeight="true" outlineLevel="0" collapsed="false">
      <c r="A7" s="27" t="s">
        <v>784</v>
      </c>
      <c r="B7" s="17"/>
      <c r="C7" s="16"/>
      <c r="D7" s="16"/>
      <c r="E7" s="16"/>
      <c r="F7" s="5"/>
      <c r="G7" s="5"/>
      <c r="H7" s="5"/>
      <c r="I7" s="5"/>
      <c r="J7" s="15"/>
      <c r="K7" s="7"/>
    </row>
    <row r="8" customFormat="false" ht="42" hidden="false" customHeight="true" outlineLevel="0" collapsed="false">
      <c r="A8" s="27" t="s">
        <v>785</v>
      </c>
      <c r="B8" s="17"/>
      <c r="C8" s="16"/>
      <c r="D8" s="16"/>
      <c r="E8" s="16"/>
      <c r="F8" s="5"/>
      <c r="G8" s="5"/>
      <c r="H8" s="5"/>
      <c r="I8" s="5"/>
      <c r="J8" s="15"/>
      <c r="K8" s="7"/>
    </row>
    <row r="9" customFormat="false" ht="42" hidden="false" customHeight="true" outlineLevel="0" collapsed="false">
      <c r="A9" s="27" t="s">
        <v>786</v>
      </c>
      <c r="B9" s="17"/>
      <c r="C9" s="16"/>
      <c r="D9" s="16"/>
      <c r="E9" s="16"/>
      <c r="F9" s="5"/>
      <c r="G9" s="5"/>
      <c r="H9" s="5"/>
      <c r="I9" s="5"/>
      <c r="J9" s="15"/>
      <c r="K9" s="7"/>
    </row>
    <row r="10" customFormat="false" ht="42" hidden="false" customHeight="true" outlineLevel="0" collapsed="false">
      <c r="A10" s="27" t="s">
        <v>787</v>
      </c>
      <c r="B10" s="17"/>
      <c r="C10" s="16"/>
      <c r="D10" s="16"/>
      <c r="E10" s="16"/>
      <c r="F10" s="5"/>
      <c r="G10" s="5"/>
      <c r="H10" s="5"/>
      <c r="I10" s="5"/>
      <c r="J10" s="15"/>
      <c r="K10" s="7"/>
    </row>
    <row r="11" customFormat="false" ht="42" hidden="false" customHeight="true" outlineLevel="0" collapsed="false">
      <c r="A11" s="27" t="s">
        <v>788</v>
      </c>
      <c r="B11" s="17"/>
      <c r="C11" s="16"/>
      <c r="D11" s="16"/>
      <c r="E11" s="16"/>
      <c r="F11" s="5"/>
      <c r="G11" s="5"/>
      <c r="H11" s="5"/>
      <c r="I11" s="5"/>
      <c r="J11" s="15"/>
      <c r="K11" s="7"/>
    </row>
    <row r="12" customFormat="false" ht="42" hidden="false" customHeight="true" outlineLevel="0" collapsed="false">
      <c r="A12" s="27" t="s">
        <v>789</v>
      </c>
      <c r="B12" s="17"/>
      <c r="C12" s="16"/>
      <c r="D12" s="16"/>
      <c r="E12" s="16"/>
      <c r="F12" s="5"/>
      <c r="G12" s="5"/>
      <c r="H12" s="5"/>
      <c r="I12" s="5"/>
      <c r="J12" s="15"/>
      <c r="K12" s="7"/>
    </row>
    <row r="13" customFormat="false" ht="42" hidden="false" customHeight="true" outlineLevel="0" collapsed="false">
      <c r="A13" s="27" t="s">
        <v>790</v>
      </c>
      <c r="B13" s="17"/>
      <c r="C13" s="16"/>
      <c r="D13" s="16"/>
      <c r="E13" s="16"/>
      <c r="F13" s="5"/>
      <c r="G13" s="5"/>
      <c r="H13" s="5"/>
      <c r="I13" s="5"/>
      <c r="J13" s="15"/>
      <c r="K13" s="7"/>
    </row>
    <row r="14" customFormat="false" ht="42" hidden="false" customHeight="true" outlineLevel="0" collapsed="false">
      <c r="A14" s="27" t="s">
        <v>791</v>
      </c>
      <c r="B14" s="17"/>
      <c r="C14" s="16"/>
      <c r="D14" s="16"/>
      <c r="E14" s="16"/>
      <c r="F14" s="5"/>
      <c r="G14" s="5"/>
      <c r="H14" s="5"/>
      <c r="I14" s="5"/>
      <c r="J14" s="15"/>
      <c r="K14" s="7"/>
    </row>
    <row r="15" customFormat="false" ht="42" hidden="false" customHeight="true" outlineLevel="0" collapsed="false">
      <c r="A15" s="27" t="s">
        <v>792</v>
      </c>
      <c r="B15" s="17"/>
      <c r="C15" s="16"/>
      <c r="D15" s="16"/>
      <c r="E15" s="16"/>
      <c r="F15" s="5"/>
      <c r="G15" s="5"/>
      <c r="H15" s="5"/>
      <c r="I15" s="5"/>
      <c r="J15" s="15"/>
      <c r="K15" s="7"/>
    </row>
    <row r="16" customFormat="false" ht="42" hidden="false" customHeight="true" outlineLevel="0" collapsed="false">
      <c r="A16" s="27" t="s">
        <v>793</v>
      </c>
      <c r="B16" s="17"/>
      <c r="C16" s="16"/>
      <c r="D16" s="16"/>
      <c r="E16" s="16"/>
      <c r="F16" s="5"/>
      <c r="G16" s="5"/>
      <c r="H16" s="5"/>
      <c r="I16" s="5"/>
      <c r="J16" s="15"/>
      <c r="K16" s="7"/>
    </row>
    <row r="17" customFormat="false" ht="42" hidden="false" customHeight="true" outlineLevel="0" collapsed="false">
      <c r="A17" s="27" t="s">
        <v>794</v>
      </c>
      <c r="B17" s="17"/>
      <c r="C17" s="16"/>
      <c r="D17" s="16"/>
      <c r="E17" s="16"/>
      <c r="F17" s="5"/>
      <c r="G17" s="5"/>
      <c r="H17" s="5"/>
      <c r="I17" s="5"/>
      <c r="J17" s="15"/>
      <c r="K17" s="7"/>
    </row>
    <row r="18" customFormat="false" ht="42" hidden="false" customHeight="true" outlineLevel="0" collapsed="false">
      <c r="A18" s="27" t="s">
        <v>795</v>
      </c>
      <c r="B18" s="17"/>
      <c r="C18" s="16"/>
      <c r="D18" s="16"/>
      <c r="E18" s="16"/>
      <c r="F18" s="5"/>
      <c r="G18" s="5"/>
      <c r="H18" s="5"/>
      <c r="I18" s="5"/>
      <c r="J18" s="15"/>
      <c r="K18" s="7"/>
    </row>
    <row r="19" customFormat="false" ht="42" hidden="false" customHeight="true" outlineLevel="0" collapsed="false">
      <c r="A19" s="27" t="s">
        <v>796</v>
      </c>
      <c r="B19" s="17"/>
      <c r="C19" s="16"/>
      <c r="D19" s="16"/>
      <c r="E19" s="16"/>
      <c r="F19" s="5"/>
      <c r="G19" s="5"/>
      <c r="H19" s="5"/>
      <c r="I19" s="5"/>
      <c r="J19" s="15"/>
      <c r="K19" s="7"/>
    </row>
    <row r="20" customFormat="false" ht="42" hidden="false" customHeight="true" outlineLevel="0" collapsed="false">
      <c r="A20" s="27" t="s">
        <v>797</v>
      </c>
      <c r="B20" s="17"/>
      <c r="C20" s="16"/>
      <c r="D20" s="16"/>
      <c r="E20" s="16"/>
      <c r="F20" s="5"/>
      <c r="G20" s="5"/>
      <c r="H20" s="5"/>
      <c r="I20" s="5"/>
      <c r="J20" s="15"/>
      <c r="K20" s="7"/>
    </row>
    <row r="21" customFormat="false" ht="42" hidden="false" customHeight="true" outlineLevel="0" collapsed="false">
      <c r="A21" s="27" t="s">
        <v>798</v>
      </c>
      <c r="B21" s="17"/>
      <c r="C21" s="16"/>
      <c r="D21" s="16"/>
      <c r="E21" s="16"/>
      <c r="F21" s="5"/>
      <c r="G21" s="5"/>
      <c r="H21" s="5"/>
      <c r="I21" s="5"/>
      <c r="J21" s="15"/>
      <c r="K21" s="7"/>
    </row>
    <row r="22" customFormat="false" ht="42" hidden="false" customHeight="true" outlineLevel="0" collapsed="false">
      <c r="A22" s="27" t="s">
        <v>799</v>
      </c>
      <c r="B22" s="17"/>
      <c r="C22" s="16"/>
      <c r="D22" s="16"/>
      <c r="E22" s="16"/>
      <c r="F22" s="5"/>
      <c r="G22" s="5"/>
      <c r="H22" s="5"/>
      <c r="I22" s="5"/>
      <c r="J22" s="15"/>
      <c r="K22" s="7"/>
    </row>
    <row r="23" customFormat="false" ht="42" hidden="false" customHeight="true" outlineLevel="0" collapsed="false">
      <c r="A23" s="27" t="s">
        <v>800</v>
      </c>
      <c r="B23" s="17"/>
      <c r="C23" s="16"/>
      <c r="D23" s="16"/>
      <c r="E23" s="16"/>
      <c r="F23" s="5"/>
      <c r="G23" s="5"/>
      <c r="H23" s="5"/>
      <c r="I23" s="5"/>
      <c r="J23" s="15"/>
      <c r="K23" s="7"/>
    </row>
    <row r="24" customFormat="false" ht="42" hidden="false" customHeight="true" outlineLevel="0" collapsed="false">
      <c r="A24" s="27" t="s">
        <v>801</v>
      </c>
      <c r="B24" s="17"/>
      <c r="C24" s="16"/>
      <c r="D24" s="16"/>
      <c r="E24" s="16"/>
      <c r="F24" s="5"/>
      <c r="G24" s="5"/>
      <c r="H24" s="5"/>
      <c r="I24" s="5"/>
      <c r="J24" s="15"/>
      <c r="K24" s="7"/>
    </row>
    <row r="25" customFormat="false" ht="42" hidden="false" customHeight="true" outlineLevel="0" collapsed="false">
      <c r="A25" s="27" t="s">
        <v>802</v>
      </c>
      <c r="B25" s="17"/>
      <c r="C25" s="16"/>
      <c r="D25" s="16"/>
      <c r="E25" s="16"/>
      <c r="F25" s="5"/>
      <c r="G25" s="5"/>
      <c r="H25" s="5"/>
      <c r="I25" s="5"/>
      <c r="J25" s="15"/>
      <c r="K25" s="7"/>
    </row>
    <row r="26" customFormat="false" ht="42" hidden="false" customHeight="true" outlineLevel="0" collapsed="false">
      <c r="A26" s="27" t="s">
        <v>803</v>
      </c>
      <c r="B26" s="17"/>
      <c r="C26" s="16"/>
      <c r="D26" s="16"/>
      <c r="E26" s="16"/>
      <c r="F26" s="5"/>
      <c r="G26" s="5"/>
      <c r="H26" s="5"/>
      <c r="I26" s="5"/>
      <c r="J26" s="15"/>
      <c r="K26" s="7"/>
    </row>
    <row r="27" customFormat="false" ht="42" hidden="false" customHeight="true" outlineLevel="0" collapsed="false">
      <c r="A27" s="27" t="s">
        <v>804</v>
      </c>
      <c r="B27" s="17"/>
      <c r="C27" s="16"/>
      <c r="D27" s="16"/>
      <c r="E27" s="16"/>
      <c r="F27" s="5"/>
      <c r="G27" s="5"/>
      <c r="H27" s="5"/>
      <c r="I27" s="5"/>
      <c r="J27" s="15"/>
      <c r="K27" s="7"/>
    </row>
    <row r="28" customFormat="false" ht="42" hidden="false" customHeight="true" outlineLevel="0" collapsed="false">
      <c r="A28" s="27" t="s">
        <v>805</v>
      </c>
      <c r="B28" s="17"/>
      <c r="C28" s="16"/>
      <c r="D28" s="16"/>
      <c r="E28" s="16"/>
      <c r="F28" s="5"/>
      <c r="G28" s="5"/>
      <c r="H28" s="5"/>
      <c r="I28" s="5"/>
      <c r="J28" s="15"/>
      <c r="K28" s="7"/>
    </row>
    <row r="29" customFormat="false" ht="42" hidden="false" customHeight="true" outlineLevel="0" collapsed="false">
      <c r="A29" s="27" t="s">
        <v>806</v>
      </c>
      <c r="B29" s="17"/>
      <c r="C29" s="16"/>
      <c r="D29" s="16"/>
      <c r="E29" s="16"/>
      <c r="F29" s="5"/>
      <c r="G29" s="5"/>
      <c r="H29" s="5"/>
      <c r="I29" s="5"/>
      <c r="J29" s="15"/>
      <c r="K29" s="7"/>
    </row>
    <row r="30" customFormat="false" ht="42" hidden="false" customHeight="true" outlineLevel="0" collapsed="false">
      <c r="A30" s="27" t="s">
        <v>807</v>
      </c>
      <c r="B30" s="17"/>
      <c r="C30" s="16"/>
      <c r="D30" s="16"/>
      <c r="E30" s="16"/>
      <c r="F30" s="5"/>
      <c r="G30" s="5"/>
      <c r="H30" s="5"/>
      <c r="I30" s="5"/>
      <c r="J30" s="15"/>
      <c r="K30" s="7"/>
    </row>
    <row r="31" customFormat="false" ht="42" hidden="false" customHeight="true" outlineLevel="0" collapsed="false">
      <c r="A31" s="27" t="s">
        <v>808</v>
      </c>
      <c r="B31" s="17"/>
      <c r="C31" s="16"/>
      <c r="D31" s="16"/>
      <c r="E31" s="16"/>
      <c r="F31" s="5"/>
      <c r="G31" s="5"/>
      <c r="H31" s="5"/>
      <c r="I31" s="5"/>
      <c r="J31" s="15"/>
      <c r="K31" s="7"/>
    </row>
    <row r="32" customFormat="false" ht="42" hidden="false" customHeight="true" outlineLevel="0" collapsed="false">
      <c r="A32" s="27" t="s">
        <v>809</v>
      </c>
      <c r="B32" s="17"/>
      <c r="C32" s="16"/>
      <c r="D32" s="16"/>
      <c r="E32" s="16"/>
      <c r="F32" s="5"/>
      <c r="G32" s="5"/>
      <c r="H32" s="5"/>
      <c r="I32" s="5"/>
      <c r="J32" s="15"/>
      <c r="K32" s="7"/>
    </row>
    <row r="33" customFormat="false" ht="42" hidden="false" customHeight="true" outlineLevel="0" collapsed="false">
      <c r="A33" s="27" t="s">
        <v>810</v>
      </c>
      <c r="B33" s="17"/>
      <c r="C33" s="16"/>
      <c r="D33" s="16"/>
      <c r="E33" s="16"/>
      <c r="F33" s="5"/>
      <c r="G33" s="5"/>
      <c r="H33" s="5"/>
      <c r="I33" s="5"/>
      <c r="J33" s="15"/>
      <c r="K33" s="7"/>
    </row>
    <row r="34" customFormat="false" ht="42" hidden="false" customHeight="true" outlineLevel="0" collapsed="false">
      <c r="A34" s="27" t="s">
        <v>811</v>
      </c>
      <c r="B34" s="17"/>
      <c r="C34" s="16"/>
      <c r="D34" s="16"/>
      <c r="E34" s="16"/>
      <c r="F34" s="5"/>
      <c r="G34" s="5"/>
      <c r="H34" s="5"/>
      <c r="I34" s="5"/>
      <c r="J34" s="15"/>
      <c r="K34" s="7"/>
    </row>
    <row r="35" customFormat="false" ht="42" hidden="false" customHeight="true" outlineLevel="0" collapsed="false">
      <c r="A35" s="27" t="s">
        <v>812</v>
      </c>
      <c r="B35" s="17"/>
      <c r="C35" s="16"/>
      <c r="D35" s="16"/>
      <c r="E35" s="16"/>
      <c r="F35" s="5"/>
      <c r="G35" s="5"/>
      <c r="H35" s="5"/>
      <c r="I35" s="5"/>
      <c r="J35" s="15"/>
      <c r="K35" s="7"/>
    </row>
    <row r="36" customFormat="false" ht="42" hidden="false" customHeight="true" outlineLevel="0" collapsed="false">
      <c r="A36" s="27" t="s">
        <v>813</v>
      </c>
      <c r="B36" s="17"/>
      <c r="C36" s="16"/>
      <c r="D36" s="16"/>
      <c r="E36" s="16"/>
      <c r="F36" s="5"/>
      <c r="G36" s="5"/>
      <c r="H36" s="5"/>
      <c r="I36" s="5"/>
      <c r="J36" s="15"/>
      <c r="K36" s="7"/>
    </row>
    <row r="37" customFormat="false" ht="42" hidden="false" customHeight="true" outlineLevel="0" collapsed="false">
      <c r="A37" s="27" t="s">
        <v>814</v>
      </c>
      <c r="B37" s="17"/>
      <c r="C37" s="16"/>
      <c r="D37" s="16"/>
      <c r="E37" s="16"/>
      <c r="F37" s="5"/>
      <c r="G37" s="5"/>
      <c r="H37" s="5"/>
      <c r="I37" s="5"/>
      <c r="J37" s="15"/>
      <c r="K37" s="7"/>
    </row>
    <row r="38" customFormat="false" ht="42" hidden="false" customHeight="true" outlineLevel="0" collapsed="false">
      <c r="A38" s="27" t="s">
        <v>815</v>
      </c>
      <c r="B38" s="17"/>
      <c r="C38" s="16"/>
      <c r="D38" s="16"/>
      <c r="E38" s="16"/>
      <c r="F38" s="5"/>
      <c r="G38" s="5"/>
      <c r="H38" s="5"/>
      <c r="I38" s="5"/>
      <c r="J38" s="15"/>
      <c r="K38" s="7"/>
    </row>
    <row r="39" customFormat="false" ht="42" hidden="false" customHeight="true" outlineLevel="0" collapsed="false">
      <c r="A39" s="27" t="s">
        <v>816</v>
      </c>
      <c r="B39" s="17"/>
      <c r="C39" s="16"/>
      <c r="D39" s="16"/>
      <c r="E39" s="16"/>
      <c r="F39" s="5"/>
      <c r="G39" s="5"/>
      <c r="H39" s="5"/>
      <c r="I39" s="5"/>
      <c r="J39" s="15"/>
      <c r="K39" s="7"/>
    </row>
    <row r="40" customFormat="false" ht="42" hidden="false" customHeight="true" outlineLevel="0" collapsed="false">
      <c r="A40" s="27" t="s">
        <v>817</v>
      </c>
      <c r="B40" s="17"/>
      <c r="C40" s="16"/>
      <c r="D40" s="16"/>
      <c r="E40" s="16"/>
      <c r="F40" s="5"/>
      <c r="G40" s="5"/>
      <c r="H40" s="5"/>
      <c r="I40" s="5"/>
      <c r="J40" s="15"/>
      <c r="K40" s="7"/>
    </row>
    <row r="41" customFormat="false" ht="42" hidden="false" customHeight="true" outlineLevel="0" collapsed="false">
      <c r="A41" s="27" t="s">
        <v>818</v>
      </c>
      <c r="B41" s="17"/>
      <c r="C41" s="16"/>
      <c r="D41" s="16"/>
      <c r="E41" s="16"/>
      <c r="F41" s="5"/>
      <c r="G41" s="5"/>
      <c r="H41" s="5"/>
      <c r="I41" s="5"/>
      <c r="J41" s="15"/>
      <c r="K41" s="7"/>
    </row>
    <row r="42" customFormat="false" ht="42" hidden="false" customHeight="true" outlineLevel="0" collapsed="false">
      <c r="A42" s="27" t="s">
        <v>819</v>
      </c>
      <c r="B42" s="17"/>
      <c r="C42" s="16"/>
      <c r="D42" s="16"/>
      <c r="E42" s="16"/>
      <c r="F42" s="5"/>
      <c r="G42" s="5"/>
      <c r="H42" s="5"/>
      <c r="I42" s="5"/>
      <c r="J42" s="15"/>
      <c r="K42" s="7"/>
    </row>
    <row r="43" customFormat="false" ht="42" hidden="false" customHeight="true" outlineLevel="0" collapsed="false">
      <c r="A43" s="27" t="s">
        <v>820</v>
      </c>
      <c r="B43" s="17"/>
      <c r="C43" s="16"/>
      <c r="D43" s="16"/>
      <c r="E43" s="16"/>
      <c r="F43" s="5"/>
      <c r="G43" s="5"/>
      <c r="H43" s="5"/>
      <c r="I43" s="5"/>
      <c r="J43" s="15"/>
      <c r="K43" s="7"/>
    </row>
    <row r="44" customFormat="false" ht="42" hidden="false" customHeight="true" outlineLevel="0" collapsed="false">
      <c r="A44" s="27" t="s">
        <v>821</v>
      </c>
      <c r="B44" s="17"/>
      <c r="C44" s="16"/>
      <c r="D44" s="16"/>
      <c r="E44" s="16"/>
      <c r="F44" s="5"/>
      <c r="G44" s="5"/>
      <c r="H44" s="5"/>
      <c r="I44" s="5"/>
      <c r="J44" s="15"/>
      <c r="K44" s="7"/>
    </row>
    <row r="45" customFormat="false" ht="42" hidden="false" customHeight="true" outlineLevel="0" collapsed="false">
      <c r="A45" s="27" t="s">
        <v>822</v>
      </c>
      <c r="B45" s="17"/>
      <c r="C45" s="16"/>
      <c r="D45" s="16"/>
      <c r="E45" s="16"/>
      <c r="F45" s="5"/>
      <c r="G45" s="5"/>
      <c r="H45" s="5"/>
      <c r="I45" s="5"/>
      <c r="J45" s="15"/>
      <c r="K45" s="7"/>
    </row>
    <row r="46" customFormat="false" ht="42" hidden="false" customHeight="true" outlineLevel="0" collapsed="false">
      <c r="A46" s="27" t="s">
        <v>823</v>
      </c>
      <c r="B46" s="17"/>
      <c r="C46" s="16"/>
      <c r="D46" s="16"/>
      <c r="E46" s="16"/>
      <c r="F46" s="5"/>
      <c r="G46" s="5"/>
      <c r="H46" s="5"/>
      <c r="I46" s="5"/>
      <c r="J46" s="15"/>
      <c r="K46" s="7"/>
    </row>
    <row r="47" customFormat="false" ht="42" hidden="false" customHeight="true" outlineLevel="0" collapsed="false">
      <c r="A47" s="27" t="s">
        <v>824</v>
      </c>
      <c r="B47" s="17"/>
      <c r="C47" s="16"/>
      <c r="D47" s="16"/>
      <c r="E47" s="16"/>
      <c r="F47" s="5"/>
      <c r="G47" s="5"/>
      <c r="H47" s="5"/>
      <c r="I47" s="5"/>
      <c r="J47" s="15"/>
      <c r="K47" s="7"/>
    </row>
    <row r="48" customFormat="false" ht="42" hidden="false" customHeight="true" outlineLevel="0" collapsed="false">
      <c r="A48" s="27" t="s">
        <v>825</v>
      </c>
      <c r="B48" s="17"/>
      <c r="C48" s="16"/>
      <c r="D48" s="16"/>
      <c r="E48" s="16"/>
      <c r="F48" s="5"/>
      <c r="G48" s="5"/>
      <c r="H48" s="5"/>
      <c r="I48" s="5"/>
      <c r="J48" s="15"/>
      <c r="K48" s="7"/>
    </row>
    <row r="49" customFormat="false" ht="42" hidden="false" customHeight="true" outlineLevel="0" collapsed="false">
      <c r="A49" s="27" t="s">
        <v>826</v>
      </c>
      <c r="B49" s="17"/>
      <c r="C49" s="16"/>
      <c r="D49" s="16"/>
      <c r="E49" s="16"/>
      <c r="F49" s="5"/>
      <c r="G49" s="5"/>
      <c r="H49" s="5"/>
      <c r="I49" s="5"/>
      <c r="J49" s="15"/>
      <c r="K49" s="7"/>
    </row>
    <row r="50" customFormat="false" ht="42" hidden="false" customHeight="true" outlineLevel="0" collapsed="false">
      <c r="A50" s="27" t="s">
        <v>827</v>
      </c>
      <c r="B50" s="17"/>
      <c r="C50" s="16"/>
      <c r="D50" s="16"/>
      <c r="E50" s="16"/>
      <c r="F50" s="5"/>
      <c r="G50" s="5"/>
      <c r="H50" s="5"/>
      <c r="I50" s="5"/>
      <c r="J50" s="15"/>
      <c r="K50" s="7"/>
    </row>
    <row r="51" customFormat="false" ht="42" hidden="false" customHeight="true" outlineLevel="0" collapsed="false">
      <c r="A51" s="27" t="s">
        <v>828</v>
      </c>
      <c r="B51" s="17"/>
      <c r="C51" s="16"/>
      <c r="D51" s="16"/>
      <c r="E51" s="16"/>
      <c r="F51" s="5"/>
      <c r="G51" s="5"/>
      <c r="H51" s="5"/>
      <c r="I51" s="5"/>
      <c r="J51" s="15"/>
      <c r="K51" s="7"/>
    </row>
    <row r="52" customFormat="false" ht="42" hidden="false" customHeight="true" outlineLevel="0" collapsed="false">
      <c r="A52" s="27" t="s">
        <v>829</v>
      </c>
      <c r="B52" s="17"/>
      <c r="C52" s="16"/>
      <c r="D52" s="16"/>
      <c r="E52" s="16"/>
      <c r="F52" s="5"/>
      <c r="G52" s="5"/>
      <c r="H52" s="5"/>
      <c r="I52" s="5"/>
      <c r="J52" s="15"/>
      <c r="K52" s="7"/>
    </row>
    <row r="53" customFormat="false" ht="42" hidden="false" customHeight="true" outlineLevel="0" collapsed="false">
      <c r="A53" s="27" t="s">
        <v>830</v>
      </c>
      <c r="B53" s="17"/>
      <c r="C53" s="16"/>
      <c r="D53" s="16"/>
      <c r="E53" s="16"/>
      <c r="F53" s="5"/>
      <c r="G53" s="5"/>
      <c r="H53" s="5"/>
      <c r="I53" s="5"/>
      <c r="J53" s="15"/>
      <c r="K53" s="7"/>
    </row>
    <row r="54" customFormat="false" ht="42" hidden="false" customHeight="true" outlineLevel="0" collapsed="false">
      <c r="A54" s="27" t="s">
        <v>831</v>
      </c>
      <c r="B54" s="17"/>
      <c r="C54" s="16"/>
      <c r="D54" s="16"/>
      <c r="E54" s="16"/>
      <c r="F54" s="5"/>
      <c r="G54" s="5"/>
      <c r="H54" s="5"/>
      <c r="I54" s="5"/>
      <c r="J54" s="15"/>
      <c r="K54" s="7"/>
    </row>
    <row r="55" customFormat="false" ht="42" hidden="false" customHeight="true" outlineLevel="0" collapsed="false">
      <c r="A55" s="27" t="s">
        <v>832</v>
      </c>
      <c r="B55" s="17"/>
      <c r="C55" s="16"/>
      <c r="D55" s="16"/>
      <c r="E55" s="16"/>
      <c r="F55" s="5"/>
      <c r="G55" s="5"/>
      <c r="H55" s="5"/>
      <c r="I55" s="5"/>
      <c r="J55" s="15"/>
      <c r="K55" s="7"/>
    </row>
    <row r="56" customFormat="false" ht="42" hidden="false" customHeight="true" outlineLevel="0" collapsed="false">
      <c r="A56" s="27" t="s">
        <v>833</v>
      </c>
      <c r="B56" s="17"/>
      <c r="C56" s="16"/>
      <c r="D56" s="16"/>
      <c r="E56" s="16"/>
      <c r="F56" s="5"/>
      <c r="G56" s="5"/>
      <c r="H56" s="5"/>
      <c r="I56" s="5"/>
      <c r="J56" s="15"/>
      <c r="K56" s="7"/>
    </row>
    <row r="57" customFormat="false" ht="42" hidden="false" customHeight="true" outlineLevel="0" collapsed="false">
      <c r="A57" s="27" t="s">
        <v>834</v>
      </c>
      <c r="B57" s="17"/>
      <c r="C57" s="16"/>
      <c r="D57" s="16"/>
      <c r="E57" s="16"/>
      <c r="F57" s="5"/>
      <c r="G57" s="5"/>
      <c r="H57" s="5"/>
      <c r="I57" s="5"/>
      <c r="J57" s="15"/>
      <c r="K57" s="7"/>
    </row>
    <row r="58" customFormat="false" ht="42" hidden="false" customHeight="true" outlineLevel="0" collapsed="false">
      <c r="A58" s="27" t="s">
        <v>835</v>
      </c>
      <c r="B58" s="17"/>
      <c r="C58" s="16"/>
      <c r="D58" s="16"/>
      <c r="E58" s="16"/>
      <c r="F58" s="5"/>
      <c r="G58" s="5"/>
      <c r="H58" s="5"/>
      <c r="I58" s="5"/>
      <c r="J58" s="15"/>
      <c r="K58" s="7"/>
    </row>
    <row r="59" customFormat="false" ht="42" hidden="false" customHeight="true" outlineLevel="0" collapsed="false">
      <c r="A59" s="27" t="s">
        <v>836</v>
      </c>
      <c r="B59" s="17"/>
      <c r="C59" s="16"/>
      <c r="D59" s="16"/>
      <c r="E59" s="16"/>
      <c r="F59" s="5"/>
      <c r="G59" s="5"/>
      <c r="H59" s="5"/>
      <c r="I59" s="5"/>
      <c r="J59" s="15"/>
      <c r="K59" s="7"/>
    </row>
    <row r="60" customFormat="false" ht="42" hidden="false" customHeight="true" outlineLevel="0" collapsed="false">
      <c r="A60" s="27" t="s">
        <v>837</v>
      </c>
      <c r="B60" s="17"/>
      <c r="C60" s="16"/>
      <c r="D60" s="16"/>
      <c r="E60" s="16"/>
      <c r="F60" s="5"/>
      <c r="G60" s="5"/>
      <c r="H60" s="5"/>
      <c r="I60" s="5"/>
      <c r="J60" s="15"/>
      <c r="K60" s="7"/>
    </row>
    <row r="61" customFormat="false" ht="42" hidden="false" customHeight="true" outlineLevel="0" collapsed="false">
      <c r="A61" s="27" t="s">
        <v>838</v>
      </c>
      <c r="B61" s="17"/>
      <c r="C61" s="16"/>
      <c r="D61" s="16"/>
      <c r="E61" s="16"/>
      <c r="F61" s="5"/>
      <c r="G61" s="5"/>
      <c r="H61" s="5"/>
      <c r="I61" s="5"/>
      <c r="J61" s="15"/>
      <c r="K61" s="7"/>
    </row>
    <row r="62" customFormat="false" ht="42" hidden="false" customHeight="true" outlineLevel="0" collapsed="false">
      <c r="A62" s="27" t="s">
        <v>839</v>
      </c>
      <c r="B62" s="17"/>
      <c r="C62" s="16"/>
      <c r="D62" s="16"/>
      <c r="E62" s="16"/>
      <c r="F62" s="5"/>
      <c r="G62" s="5"/>
      <c r="H62" s="5"/>
      <c r="I62" s="5"/>
      <c r="J62" s="15"/>
      <c r="K62" s="7"/>
    </row>
    <row r="63" customFormat="false" ht="42" hidden="false" customHeight="true" outlineLevel="0" collapsed="false">
      <c r="A63" s="27" t="s">
        <v>840</v>
      </c>
      <c r="B63" s="17"/>
      <c r="C63" s="16"/>
      <c r="D63" s="16"/>
      <c r="E63" s="16"/>
      <c r="F63" s="5"/>
      <c r="G63" s="5"/>
      <c r="H63" s="5"/>
      <c r="I63" s="5"/>
      <c r="J63" s="15"/>
      <c r="K63" s="7"/>
    </row>
    <row r="64" customFormat="false" ht="42" hidden="false" customHeight="true" outlineLevel="0" collapsed="false">
      <c r="A64" s="27" t="s">
        <v>841</v>
      </c>
      <c r="B64" s="17"/>
      <c r="C64" s="16"/>
      <c r="D64" s="16"/>
      <c r="E64" s="16"/>
      <c r="F64" s="5"/>
      <c r="G64" s="5"/>
      <c r="H64" s="5"/>
      <c r="I64" s="5"/>
      <c r="J64" s="15"/>
      <c r="K64" s="7"/>
    </row>
    <row r="65" customFormat="false" ht="42" hidden="false" customHeight="true" outlineLevel="0" collapsed="false">
      <c r="A65" s="27" t="s">
        <v>842</v>
      </c>
      <c r="B65" s="17"/>
      <c r="C65" s="16"/>
      <c r="D65" s="16"/>
      <c r="E65" s="16"/>
      <c r="F65" s="5"/>
      <c r="G65" s="5"/>
      <c r="H65" s="5"/>
      <c r="I65" s="5"/>
      <c r="J65" s="15"/>
      <c r="K65" s="7"/>
    </row>
    <row r="66" customFormat="false" ht="42" hidden="false" customHeight="true" outlineLevel="0" collapsed="false">
      <c r="A66" s="27" t="s">
        <v>843</v>
      </c>
      <c r="B66" s="17"/>
      <c r="C66" s="16"/>
      <c r="D66" s="16"/>
      <c r="E66" s="16"/>
      <c r="F66" s="5"/>
      <c r="G66" s="5"/>
      <c r="H66" s="5"/>
      <c r="I66" s="5"/>
      <c r="J66" s="15"/>
      <c r="K66" s="7"/>
    </row>
    <row r="67" customFormat="false" ht="42" hidden="false" customHeight="true" outlineLevel="0" collapsed="false">
      <c r="A67" s="27" t="s">
        <v>844</v>
      </c>
      <c r="B67" s="17"/>
      <c r="C67" s="16"/>
      <c r="D67" s="16"/>
      <c r="E67" s="16"/>
      <c r="F67" s="5"/>
      <c r="G67" s="5"/>
      <c r="H67" s="5"/>
      <c r="I67" s="5"/>
      <c r="J67" s="15"/>
      <c r="K67" s="7"/>
    </row>
    <row r="68" customFormat="false" ht="42" hidden="false" customHeight="true" outlineLevel="0" collapsed="false">
      <c r="A68" s="27" t="s">
        <v>845</v>
      </c>
      <c r="B68" s="17"/>
      <c r="C68" s="16"/>
      <c r="D68" s="16"/>
      <c r="E68" s="16"/>
      <c r="F68" s="5"/>
      <c r="G68" s="5"/>
      <c r="H68" s="5"/>
      <c r="I68" s="5"/>
      <c r="J68" s="15"/>
      <c r="K68" s="7"/>
    </row>
    <row r="69" customFormat="false" ht="42" hidden="false" customHeight="true" outlineLevel="0" collapsed="false">
      <c r="A69" s="27" t="s">
        <v>846</v>
      </c>
      <c r="B69" s="17"/>
      <c r="C69" s="16"/>
      <c r="D69" s="16"/>
      <c r="E69" s="16"/>
      <c r="F69" s="5"/>
      <c r="G69" s="5"/>
      <c r="H69" s="5"/>
      <c r="I69" s="5"/>
      <c r="J69" s="15"/>
      <c r="K69" s="7"/>
    </row>
    <row r="70" customFormat="false" ht="42" hidden="false" customHeight="true" outlineLevel="0" collapsed="false">
      <c r="A70" s="27" t="s">
        <v>847</v>
      </c>
      <c r="B70" s="17"/>
      <c r="C70" s="16"/>
      <c r="D70" s="16"/>
      <c r="E70" s="16"/>
      <c r="F70" s="5"/>
      <c r="G70" s="5"/>
      <c r="H70" s="5"/>
      <c r="I70" s="5"/>
      <c r="J70" s="15"/>
      <c r="K70" s="7"/>
    </row>
    <row r="71" customFormat="false" ht="42" hidden="false" customHeight="true" outlineLevel="0" collapsed="false">
      <c r="A71" s="27" t="s">
        <v>848</v>
      </c>
      <c r="B71" s="17"/>
      <c r="C71" s="16"/>
      <c r="D71" s="16"/>
      <c r="E71" s="16"/>
      <c r="F71" s="5"/>
      <c r="G71" s="5"/>
      <c r="H71" s="5"/>
      <c r="I71" s="5"/>
      <c r="J71" s="15"/>
      <c r="K71" s="7"/>
    </row>
    <row r="72" customFormat="false" ht="42" hidden="false" customHeight="true" outlineLevel="0" collapsed="false">
      <c r="A72" s="27" t="s">
        <v>849</v>
      </c>
      <c r="B72" s="17"/>
      <c r="C72" s="16"/>
      <c r="D72" s="16"/>
      <c r="E72" s="16"/>
      <c r="F72" s="5"/>
      <c r="G72" s="5"/>
      <c r="H72" s="5"/>
      <c r="I72" s="5"/>
      <c r="J72" s="15"/>
      <c r="K72" s="7"/>
    </row>
    <row r="73" customFormat="false" ht="42" hidden="false" customHeight="true" outlineLevel="0" collapsed="false">
      <c r="A73" s="27" t="s">
        <v>850</v>
      </c>
      <c r="B73" s="17"/>
      <c r="C73" s="16"/>
      <c r="D73" s="16"/>
      <c r="E73" s="16"/>
      <c r="F73" s="5"/>
      <c r="G73" s="5"/>
      <c r="H73" s="5"/>
      <c r="I73" s="5"/>
      <c r="J73" s="15"/>
      <c r="K73" s="7"/>
    </row>
    <row r="74" customFormat="false" ht="42" hidden="false" customHeight="true" outlineLevel="0" collapsed="false">
      <c r="A74" s="27" t="s">
        <v>851</v>
      </c>
      <c r="B74" s="17"/>
      <c r="C74" s="16"/>
      <c r="D74" s="16"/>
      <c r="E74" s="16"/>
      <c r="F74" s="5"/>
      <c r="G74" s="5"/>
      <c r="H74" s="5"/>
      <c r="I74" s="5"/>
      <c r="J74" s="15"/>
      <c r="K74" s="7"/>
    </row>
    <row r="75" customFormat="false" ht="42" hidden="false" customHeight="true" outlineLevel="0" collapsed="false">
      <c r="A75" s="27" t="s">
        <v>852</v>
      </c>
      <c r="B75" s="17"/>
      <c r="C75" s="16"/>
      <c r="D75" s="16"/>
      <c r="E75" s="16"/>
      <c r="F75" s="5"/>
      <c r="G75" s="5"/>
      <c r="H75" s="5"/>
      <c r="I75" s="5"/>
      <c r="J75" s="15"/>
      <c r="K75" s="7"/>
    </row>
    <row r="76" customFormat="false" ht="42" hidden="false" customHeight="true" outlineLevel="0" collapsed="false">
      <c r="A76" s="27" t="s">
        <v>853</v>
      </c>
      <c r="B76" s="17"/>
      <c r="C76" s="16"/>
      <c r="D76" s="16"/>
      <c r="E76" s="16"/>
      <c r="F76" s="5"/>
      <c r="G76" s="5"/>
      <c r="H76" s="5"/>
      <c r="I76" s="5"/>
      <c r="J76" s="15"/>
      <c r="K76" s="7"/>
    </row>
    <row r="77" customFormat="false" ht="42" hidden="false" customHeight="true" outlineLevel="0" collapsed="false">
      <c r="A77" s="27" t="s">
        <v>854</v>
      </c>
      <c r="B77" s="17"/>
      <c r="C77" s="16"/>
      <c r="D77" s="16"/>
      <c r="E77" s="16"/>
      <c r="F77" s="5"/>
      <c r="G77" s="5"/>
      <c r="H77" s="5"/>
      <c r="I77" s="5"/>
      <c r="J77" s="15"/>
      <c r="K77" s="7"/>
    </row>
    <row r="78" customFormat="false" ht="42" hidden="false" customHeight="true" outlineLevel="0" collapsed="false">
      <c r="A78" s="27" t="s">
        <v>855</v>
      </c>
      <c r="B78" s="17"/>
      <c r="C78" s="16"/>
      <c r="D78" s="16"/>
      <c r="E78" s="16"/>
      <c r="F78" s="5"/>
      <c r="G78" s="5"/>
      <c r="H78" s="5"/>
      <c r="I78" s="5"/>
      <c r="J78" s="15"/>
      <c r="K78" s="7"/>
    </row>
    <row r="79" customFormat="false" ht="42" hidden="false" customHeight="true" outlineLevel="0" collapsed="false">
      <c r="A79" s="27" t="s">
        <v>856</v>
      </c>
      <c r="B79" s="17"/>
      <c r="C79" s="16"/>
      <c r="D79" s="16"/>
      <c r="E79" s="16"/>
      <c r="F79" s="5"/>
      <c r="G79" s="5"/>
      <c r="H79" s="5"/>
      <c r="I79" s="5"/>
      <c r="J79" s="15"/>
      <c r="K79" s="7"/>
    </row>
    <row r="80" customFormat="false" ht="42" hidden="false" customHeight="true" outlineLevel="0" collapsed="false">
      <c r="A80" s="27" t="s">
        <v>857</v>
      </c>
      <c r="B80" s="17"/>
      <c r="C80" s="16"/>
      <c r="D80" s="16"/>
      <c r="E80" s="16"/>
      <c r="F80" s="5"/>
      <c r="G80" s="5"/>
      <c r="H80" s="5"/>
      <c r="I80" s="5"/>
      <c r="J80" s="15"/>
      <c r="K80" s="7"/>
    </row>
    <row r="81" customFormat="false" ht="42" hidden="false" customHeight="true" outlineLevel="0" collapsed="false">
      <c r="A81" s="27" t="s">
        <v>858</v>
      </c>
      <c r="B81" s="17"/>
      <c r="C81" s="16"/>
      <c r="D81" s="16"/>
      <c r="E81" s="16"/>
      <c r="F81" s="5"/>
      <c r="G81" s="5"/>
      <c r="H81" s="5"/>
      <c r="I81" s="5"/>
      <c r="J81" s="15"/>
      <c r="K81" s="7"/>
    </row>
    <row r="82" customFormat="false" ht="42" hidden="false" customHeight="true" outlineLevel="0" collapsed="false">
      <c r="A82" s="27" t="s">
        <v>859</v>
      </c>
      <c r="B82" s="17"/>
      <c r="C82" s="16"/>
      <c r="D82" s="16"/>
      <c r="E82" s="16"/>
      <c r="F82" s="5"/>
      <c r="G82" s="5"/>
      <c r="H82" s="5"/>
      <c r="I82" s="5"/>
      <c r="J82" s="15"/>
      <c r="K82" s="7"/>
    </row>
    <row r="83" customFormat="false" ht="42" hidden="false" customHeight="true" outlineLevel="0" collapsed="false">
      <c r="A83" s="27" t="s">
        <v>860</v>
      </c>
      <c r="B83" s="17"/>
      <c r="C83" s="16"/>
      <c r="D83" s="16"/>
      <c r="E83" s="16"/>
      <c r="F83" s="5"/>
      <c r="G83" s="5"/>
      <c r="H83" s="5"/>
      <c r="I83" s="5"/>
      <c r="J83" s="15"/>
      <c r="K83" s="7"/>
    </row>
    <row r="84" customFormat="false" ht="42" hidden="false" customHeight="true" outlineLevel="0" collapsed="false">
      <c r="A84" s="27" t="s">
        <v>861</v>
      </c>
      <c r="B84" s="17"/>
      <c r="C84" s="16"/>
      <c r="D84" s="16"/>
      <c r="E84" s="16"/>
      <c r="F84" s="5"/>
      <c r="G84" s="5"/>
      <c r="H84" s="5"/>
      <c r="I84" s="5"/>
      <c r="J84" s="15"/>
      <c r="K84" s="7"/>
    </row>
    <row r="85" customFormat="false" ht="42" hidden="false" customHeight="true" outlineLevel="0" collapsed="false">
      <c r="A85" s="27" t="s">
        <v>862</v>
      </c>
      <c r="B85" s="17"/>
      <c r="C85" s="16"/>
      <c r="D85" s="16"/>
      <c r="E85" s="16"/>
      <c r="F85" s="5"/>
      <c r="G85" s="5"/>
      <c r="H85" s="5"/>
      <c r="I85" s="5"/>
      <c r="J85" s="15"/>
      <c r="K85" s="7"/>
    </row>
    <row r="86" customFormat="false" ht="42" hidden="false" customHeight="true" outlineLevel="0" collapsed="false">
      <c r="A86" s="27" t="s">
        <v>863</v>
      </c>
      <c r="B86" s="17"/>
      <c r="C86" s="16"/>
      <c r="D86" s="16"/>
      <c r="E86" s="16"/>
      <c r="F86" s="5"/>
      <c r="G86" s="5"/>
      <c r="H86" s="5"/>
      <c r="I86" s="5"/>
      <c r="J86" s="15"/>
      <c r="K86" s="7"/>
    </row>
    <row r="87" customFormat="false" ht="42" hidden="false" customHeight="true" outlineLevel="0" collapsed="false">
      <c r="A87" s="27" t="s">
        <v>864</v>
      </c>
      <c r="B87" s="17"/>
      <c r="C87" s="16"/>
      <c r="D87" s="16"/>
      <c r="E87" s="16"/>
      <c r="F87" s="5"/>
      <c r="G87" s="5"/>
      <c r="H87" s="5"/>
      <c r="I87" s="5"/>
      <c r="J87" s="15"/>
      <c r="K87" s="7"/>
    </row>
    <row r="88" customFormat="false" ht="42" hidden="false" customHeight="true" outlineLevel="0" collapsed="false">
      <c r="A88" s="27" t="s">
        <v>865</v>
      </c>
      <c r="B88" s="17"/>
      <c r="C88" s="16"/>
      <c r="D88" s="16"/>
      <c r="E88" s="16"/>
      <c r="F88" s="5"/>
      <c r="G88" s="5"/>
      <c r="H88" s="5"/>
      <c r="I88" s="5"/>
      <c r="J88" s="15"/>
      <c r="K88" s="7"/>
    </row>
    <row r="89" customFormat="false" ht="42" hidden="false" customHeight="true" outlineLevel="0" collapsed="false">
      <c r="A89" s="27" t="s">
        <v>866</v>
      </c>
      <c r="B89" s="17"/>
      <c r="C89" s="16"/>
      <c r="D89" s="16"/>
      <c r="E89" s="16"/>
      <c r="F89" s="5"/>
      <c r="G89" s="5"/>
      <c r="H89" s="5"/>
      <c r="I89" s="5"/>
      <c r="J89" s="15"/>
      <c r="K89" s="7"/>
    </row>
    <row r="90" customFormat="false" ht="42" hidden="false" customHeight="true" outlineLevel="0" collapsed="false">
      <c r="A90" s="27" t="s">
        <v>867</v>
      </c>
      <c r="B90" s="17"/>
      <c r="C90" s="16"/>
      <c r="D90" s="16"/>
      <c r="E90" s="16"/>
      <c r="F90" s="5"/>
      <c r="G90" s="5"/>
      <c r="H90" s="5"/>
      <c r="I90" s="5"/>
      <c r="J90" s="15"/>
      <c r="K90" s="7"/>
    </row>
    <row r="91" customFormat="false" ht="42" hidden="false" customHeight="true" outlineLevel="0" collapsed="false">
      <c r="A91" s="27" t="s">
        <v>868</v>
      </c>
      <c r="B91" s="17"/>
      <c r="C91" s="16"/>
      <c r="D91" s="16"/>
      <c r="E91" s="16"/>
      <c r="F91" s="5"/>
      <c r="G91" s="5"/>
      <c r="H91" s="5"/>
      <c r="I91" s="5"/>
      <c r="J91" s="15"/>
      <c r="K91" s="7"/>
    </row>
    <row r="92" customFormat="false" ht="42" hidden="false" customHeight="true" outlineLevel="0" collapsed="false">
      <c r="A92" s="27" t="s">
        <v>869</v>
      </c>
      <c r="B92" s="17"/>
      <c r="C92" s="16"/>
      <c r="D92" s="16"/>
      <c r="E92" s="16"/>
      <c r="F92" s="5"/>
      <c r="G92" s="5"/>
      <c r="H92" s="5"/>
      <c r="I92" s="5"/>
      <c r="J92" s="15"/>
      <c r="K92" s="7"/>
    </row>
    <row r="93" customFormat="false" ht="42" hidden="false" customHeight="true" outlineLevel="0" collapsed="false">
      <c r="A93" s="27" t="s">
        <v>870</v>
      </c>
      <c r="B93" s="17"/>
      <c r="C93" s="16"/>
      <c r="D93" s="16"/>
      <c r="E93" s="16"/>
      <c r="F93" s="5"/>
      <c r="G93" s="5"/>
      <c r="H93" s="5"/>
      <c r="I93" s="5"/>
      <c r="J93" s="15"/>
      <c r="K93" s="7"/>
    </row>
    <row r="94" customFormat="false" ht="42" hidden="false" customHeight="true" outlineLevel="0" collapsed="false">
      <c r="A94" s="27" t="s">
        <v>871</v>
      </c>
      <c r="B94" s="17"/>
      <c r="C94" s="16"/>
      <c r="D94" s="16"/>
      <c r="E94" s="16"/>
      <c r="F94" s="5"/>
      <c r="G94" s="5"/>
      <c r="H94" s="5"/>
      <c r="I94" s="5"/>
      <c r="J94" s="15"/>
      <c r="K94" s="7"/>
    </row>
    <row r="95" customFormat="false" ht="42" hidden="false" customHeight="true" outlineLevel="0" collapsed="false">
      <c r="A95" s="27" t="s">
        <v>872</v>
      </c>
      <c r="B95" s="17"/>
      <c r="C95" s="16"/>
      <c r="D95" s="16"/>
      <c r="E95" s="16"/>
      <c r="F95" s="5"/>
      <c r="G95" s="5"/>
      <c r="H95" s="5"/>
      <c r="I95" s="5"/>
      <c r="J95" s="15"/>
      <c r="K95" s="7"/>
    </row>
    <row r="96" customFormat="false" ht="42" hidden="false" customHeight="true" outlineLevel="0" collapsed="false">
      <c r="A96" s="27" t="s">
        <v>873</v>
      </c>
      <c r="B96" s="17"/>
      <c r="C96" s="16"/>
      <c r="D96" s="16"/>
      <c r="E96" s="16"/>
      <c r="F96" s="5"/>
      <c r="G96" s="5"/>
      <c r="H96" s="5"/>
      <c r="I96" s="5"/>
      <c r="J96" s="15"/>
      <c r="K96" s="7"/>
    </row>
    <row r="97" customFormat="false" ht="42" hidden="false" customHeight="true" outlineLevel="0" collapsed="false">
      <c r="A97" s="27" t="s">
        <v>874</v>
      </c>
      <c r="B97" s="17"/>
      <c r="C97" s="16"/>
      <c r="D97" s="16"/>
      <c r="E97" s="16"/>
      <c r="F97" s="5"/>
      <c r="G97" s="5"/>
      <c r="H97" s="5"/>
      <c r="I97" s="5"/>
      <c r="J97" s="15"/>
      <c r="K97" s="7"/>
    </row>
    <row r="98" customFormat="false" ht="42" hidden="false" customHeight="true" outlineLevel="0" collapsed="false">
      <c r="A98" s="27" t="s">
        <v>875</v>
      </c>
      <c r="B98" s="17"/>
      <c r="C98" s="16"/>
      <c r="D98" s="16"/>
      <c r="E98" s="16"/>
      <c r="F98" s="5"/>
      <c r="G98" s="5"/>
      <c r="H98" s="5"/>
      <c r="I98" s="5"/>
      <c r="J98" s="15"/>
      <c r="K98" s="7"/>
    </row>
    <row r="99" customFormat="false" ht="42" hidden="false" customHeight="true" outlineLevel="0" collapsed="false">
      <c r="A99" s="27" t="s">
        <v>876</v>
      </c>
      <c r="B99" s="17"/>
      <c r="C99" s="16"/>
      <c r="D99" s="16"/>
      <c r="E99" s="16"/>
      <c r="F99" s="5"/>
      <c r="G99" s="5"/>
      <c r="H99" s="5"/>
      <c r="I99" s="5"/>
      <c r="J99" s="15"/>
      <c r="K99" s="7"/>
    </row>
    <row r="100" customFormat="false" ht="42" hidden="false" customHeight="true" outlineLevel="0" collapsed="false">
      <c r="A100" s="27" t="s">
        <v>877</v>
      </c>
      <c r="B100" s="17"/>
      <c r="C100" s="16"/>
      <c r="D100" s="16"/>
      <c r="E100" s="16"/>
      <c r="F100" s="5"/>
      <c r="G100" s="5"/>
      <c r="H100" s="5"/>
      <c r="I100" s="5"/>
      <c r="J100" s="15"/>
      <c r="K100" s="7"/>
    </row>
    <row r="101" customFormat="false" ht="42" hidden="false" customHeight="true" outlineLevel="0" collapsed="false">
      <c r="A101" s="27" t="s">
        <v>878</v>
      </c>
      <c r="B101" s="17"/>
      <c r="C101" s="16"/>
      <c r="D101" s="16"/>
      <c r="E101" s="16"/>
      <c r="F101" s="5"/>
      <c r="G101" s="5"/>
      <c r="H101" s="5"/>
      <c r="I101" s="5"/>
      <c r="J101" s="15"/>
      <c r="K101" s="7"/>
    </row>
    <row r="102" customFormat="false" ht="42" hidden="false" customHeight="true" outlineLevel="0" collapsed="false">
      <c r="A102" s="27" t="s">
        <v>879</v>
      </c>
      <c r="B102" s="17"/>
      <c r="C102" s="16"/>
      <c r="D102" s="16"/>
      <c r="E102" s="16"/>
      <c r="F102" s="5"/>
      <c r="G102" s="5"/>
      <c r="H102" s="5"/>
      <c r="I102" s="5"/>
      <c r="J102" s="15"/>
      <c r="K102" s="7"/>
    </row>
    <row r="103" customFormat="false" ht="42" hidden="false" customHeight="true" outlineLevel="0" collapsed="false">
      <c r="A103" s="27" t="s">
        <v>880</v>
      </c>
      <c r="B103" s="17"/>
      <c r="C103" s="16"/>
      <c r="D103" s="16"/>
      <c r="E103" s="16"/>
      <c r="F103" s="5"/>
      <c r="G103" s="5"/>
      <c r="H103" s="5"/>
      <c r="I103" s="5"/>
      <c r="J103" s="15"/>
      <c r="K103" s="7"/>
    </row>
    <row r="104" customFormat="false" ht="42" hidden="false" customHeight="true" outlineLevel="0" collapsed="false">
      <c r="A104" s="27" t="s">
        <v>881</v>
      </c>
      <c r="B104" s="17"/>
      <c r="C104" s="16"/>
      <c r="D104" s="16"/>
      <c r="E104" s="16"/>
      <c r="F104" s="5"/>
      <c r="G104" s="5"/>
      <c r="H104" s="5"/>
      <c r="I104" s="5"/>
      <c r="J104" s="15"/>
      <c r="K104" s="7"/>
    </row>
    <row r="105" customFormat="false" ht="42" hidden="false" customHeight="true" outlineLevel="0" collapsed="false">
      <c r="A105" s="27" t="s">
        <v>882</v>
      </c>
      <c r="B105" s="17"/>
      <c r="C105" s="16"/>
      <c r="D105" s="16"/>
      <c r="E105" s="16"/>
      <c r="F105" s="5"/>
      <c r="G105" s="5"/>
      <c r="H105" s="5"/>
      <c r="I105" s="5"/>
      <c r="J105" s="15"/>
      <c r="K105" s="7"/>
    </row>
    <row r="106" customFormat="false" ht="42" hidden="false" customHeight="true" outlineLevel="0" collapsed="false">
      <c r="A106" s="27" t="s">
        <v>883</v>
      </c>
      <c r="B106" s="17"/>
      <c r="C106" s="16"/>
      <c r="D106" s="16"/>
      <c r="E106" s="16"/>
      <c r="F106" s="5"/>
      <c r="G106" s="5"/>
      <c r="H106" s="5"/>
      <c r="I106" s="5"/>
      <c r="J106" s="15"/>
      <c r="K106" s="7"/>
    </row>
    <row r="107" customFormat="false" ht="42" hidden="false" customHeight="true" outlineLevel="0" collapsed="false">
      <c r="A107" s="27" t="s">
        <v>884</v>
      </c>
      <c r="B107" s="17"/>
      <c r="C107" s="16"/>
      <c r="D107" s="16"/>
      <c r="E107" s="16"/>
      <c r="F107" s="5"/>
      <c r="G107" s="5"/>
      <c r="H107" s="5"/>
      <c r="I107" s="5"/>
      <c r="J107" s="15"/>
      <c r="K107" s="7"/>
    </row>
    <row r="108" customFormat="false" ht="42" hidden="false" customHeight="true" outlineLevel="0" collapsed="false">
      <c r="A108" s="27" t="s">
        <v>885</v>
      </c>
      <c r="B108" s="17"/>
      <c r="C108" s="16"/>
      <c r="D108" s="16"/>
      <c r="E108" s="16"/>
      <c r="F108" s="5"/>
      <c r="G108" s="5"/>
      <c r="H108" s="5"/>
      <c r="I108" s="5"/>
      <c r="J108" s="15"/>
      <c r="K108" s="7"/>
    </row>
    <row r="109" customFormat="false" ht="42" hidden="false" customHeight="true" outlineLevel="0" collapsed="false">
      <c r="A109" s="27" t="s">
        <v>886</v>
      </c>
      <c r="B109" s="17"/>
      <c r="C109" s="16"/>
      <c r="D109" s="16"/>
      <c r="E109" s="16"/>
      <c r="F109" s="5"/>
      <c r="G109" s="5"/>
      <c r="H109" s="5"/>
      <c r="I109" s="5"/>
      <c r="J109" s="15"/>
      <c r="K109" s="7"/>
    </row>
    <row r="110" customFormat="false" ht="42" hidden="false" customHeight="true" outlineLevel="0" collapsed="false">
      <c r="A110" s="27" t="s">
        <v>887</v>
      </c>
      <c r="B110" s="17"/>
      <c r="C110" s="16"/>
      <c r="D110" s="16"/>
      <c r="E110" s="16"/>
      <c r="F110" s="5"/>
      <c r="G110" s="5"/>
      <c r="H110" s="5"/>
      <c r="I110" s="5"/>
      <c r="J110" s="15"/>
      <c r="K110" s="7"/>
    </row>
    <row r="111" customFormat="false" ht="42" hidden="false" customHeight="true" outlineLevel="0" collapsed="false">
      <c r="A111" s="27" t="s">
        <v>888</v>
      </c>
      <c r="B111" s="17"/>
      <c r="C111" s="16"/>
      <c r="D111" s="16"/>
      <c r="E111" s="16"/>
      <c r="F111" s="5"/>
      <c r="G111" s="5"/>
      <c r="H111" s="5"/>
      <c r="I111" s="5"/>
      <c r="J111" s="15"/>
      <c r="K111" s="7"/>
    </row>
    <row r="112" customFormat="false" ht="42" hidden="false" customHeight="true" outlineLevel="0" collapsed="false">
      <c r="A112" s="27" t="s">
        <v>889</v>
      </c>
      <c r="B112" s="17"/>
      <c r="C112" s="16"/>
      <c r="D112" s="16"/>
      <c r="E112" s="16"/>
      <c r="F112" s="5"/>
      <c r="G112" s="5"/>
      <c r="H112" s="5"/>
      <c r="I112" s="5"/>
      <c r="J112" s="15"/>
      <c r="K112" s="7"/>
    </row>
    <row r="113" customFormat="false" ht="42" hidden="false" customHeight="true" outlineLevel="0" collapsed="false">
      <c r="A113" s="27" t="s">
        <v>890</v>
      </c>
      <c r="B113" s="17"/>
      <c r="C113" s="16"/>
      <c r="D113" s="16"/>
      <c r="E113" s="16"/>
      <c r="F113" s="5"/>
      <c r="G113" s="5"/>
      <c r="H113" s="5"/>
      <c r="I113" s="5"/>
      <c r="J113" s="15"/>
      <c r="K113" s="7"/>
    </row>
    <row r="114" customFormat="false" ht="42" hidden="false" customHeight="true" outlineLevel="0" collapsed="false">
      <c r="A114" s="27" t="s">
        <v>891</v>
      </c>
      <c r="B114" s="17"/>
      <c r="C114" s="16"/>
      <c r="D114" s="16"/>
      <c r="E114" s="16"/>
      <c r="F114" s="5"/>
      <c r="G114" s="5"/>
      <c r="H114" s="5"/>
      <c r="I114" s="5"/>
      <c r="J114" s="15"/>
      <c r="K114" s="7"/>
    </row>
    <row r="115" customFormat="false" ht="42" hidden="false" customHeight="true" outlineLevel="0" collapsed="false">
      <c r="A115" s="27" t="s">
        <v>892</v>
      </c>
      <c r="B115" s="17"/>
      <c r="C115" s="16"/>
      <c r="D115" s="16"/>
      <c r="E115" s="16"/>
      <c r="F115" s="5"/>
      <c r="G115" s="5"/>
      <c r="H115" s="5"/>
      <c r="I115" s="5"/>
      <c r="J115" s="15"/>
      <c r="K115" s="7"/>
    </row>
    <row r="116" customFormat="false" ht="42" hidden="false" customHeight="true" outlineLevel="0" collapsed="false">
      <c r="A116" s="27" t="s">
        <v>893</v>
      </c>
      <c r="B116" s="17"/>
      <c r="C116" s="16"/>
      <c r="D116" s="16"/>
      <c r="E116" s="16"/>
      <c r="F116" s="5"/>
      <c r="G116" s="5"/>
      <c r="H116" s="5"/>
      <c r="I116" s="5"/>
      <c r="J116" s="15"/>
      <c r="K116" s="7"/>
    </row>
    <row r="117" customFormat="false" ht="42" hidden="false" customHeight="true" outlineLevel="0" collapsed="false">
      <c r="A117" s="27" t="s">
        <v>894</v>
      </c>
      <c r="B117" s="17"/>
      <c r="C117" s="16"/>
      <c r="D117" s="16"/>
      <c r="E117" s="16"/>
      <c r="F117" s="5"/>
      <c r="G117" s="5"/>
      <c r="H117" s="5"/>
      <c r="I117" s="5"/>
      <c r="J117" s="15"/>
      <c r="K117" s="7"/>
    </row>
    <row r="118" customFormat="false" ht="42" hidden="false" customHeight="true" outlineLevel="0" collapsed="false">
      <c r="A118" s="27" t="s">
        <v>895</v>
      </c>
      <c r="B118" s="17"/>
      <c r="C118" s="16"/>
      <c r="D118" s="16"/>
      <c r="E118" s="16"/>
      <c r="F118" s="5"/>
      <c r="G118" s="5"/>
      <c r="H118" s="5"/>
      <c r="I118" s="5"/>
      <c r="J118" s="15"/>
      <c r="K118" s="7"/>
    </row>
    <row r="119" customFormat="false" ht="42" hidden="false" customHeight="true" outlineLevel="0" collapsed="false">
      <c r="A119" s="27" t="s">
        <v>896</v>
      </c>
      <c r="B119" s="17"/>
      <c r="C119" s="16"/>
      <c r="D119" s="16"/>
      <c r="E119" s="16"/>
      <c r="F119" s="5"/>
      <c r="G119" s="5"/>
      <c r="H119" s="5"/>
      <c r="I119" s="5"/>
      <c r="J119" s="15"/>
      <c r="K119" s="7"/>
    </row>
    <row r="120" customFormat="false" ht="42" hidden="false" customHeight="true" outlineLevel="0" collapsed="false">
      <c r="A120" s="27" t="s">
        <v>897</v>
      </c>
      <c r="B120" s="17"/>
      <c r="C120" s="16"/>
      <c r="D120" s="16"/>
      <c r="E120" s="16"/>
      <c r="F120" s="5"/>
      <c r="G120" s="5"/>
      <c r="H120" s="5"/>
      <c r="I120" s="5"/>
      <c r="J120" s="15"/>
      <c r="K120" s="7"/>
    </row>
    <row r="121" customFormat="false" ht="42" hidden="false" customHeight="true" outlineLevel="0" collapsed="false">
      <c r="A121" s="27" t="s">
        <v>898</v>
      </c>
      <c r="B121" s="17"/>
      <c r="C121" s="16"/>
      <c r="D121" s="16"/>
      <c r="E121" s="16"/>
      <c r="F121" s="5"/>
      <c r="G121" s="5"/>
      <c r="H121" s="5"/>
      <c r="I121" s="5"/>
      <c r="J121" s="15"/>
      <c r="K121" s="7"/>
    </row>
    <row r="122" customFormat="false" ht="42" hidden="false" customHeight="true" outlineLevel="0" collapsed="false">
      <c r="A122" s="27" t="s">
        <v>899</v>
      </c>
      <c r="B122" s="17"/>
      <c r="C122" s="16"/>
      <c r="D122" s="16"/>
      <c r="E122" s="16"/>
      <c r="F122" s="5"/>
      <c r="G122" s="5"/>
      <c r="H122" s="5"/>
      <c r="I122" s="5"/>
      <c r="J122" s="15"/>
      <c r="K122" s="7"/>
    </row>
    <row r="123" customFormat="false" ht="42" hidden="false" customHeight="true" outlineLevel="0" collapsed="false">
      <c r="A123" s="27" t="s">
        <v>900</v>
      </c>
      <c r="B123" s="17"/>
      <c r="C123" s="16"/>
      <c r="D123" s="16"/>
      <c r="E123" s="16"/>
      <c r="F123" s="5"/>
      <c r="G123" s="5"/>
      <c r="H123" s="5"/>
      <c r="I123" s="5"/>
      <c r="J123" s="15"/>
      <c r="K123" s="7"/>
    </row>
    <row r="124" customFormat="false" ht="42" hidden="false" customHeight="true" outlineLevel="0" collapsed="false">
      <c r="A124" s="27" t="s">
        <v>901</v>
      </c>
      <c r="B124" s="17"/>
      <c r="C124" s="16"/>
      <c r="D124" s="16"/>
      <c r="E124" s="16"/>
      <c r="F124" s="5"/>
      <c r="G124" s="5"/>
      <c r="H124" s="5"/>
      <c r="I124" s="5"/>
      <c r="J124" s="15"/>
      <c r="K124" s="7"/>
    </row>
    <row r="125" customFormat="false" ht="42" hidden="false" customHeight="true" outlineLevel="0" collapsed="false">
      <c r="A125" s="27" t="s">
        <v>902</v>
      </c>
      <c r="B125" s="17"/>
      <c r="C125" s="16"/>
      <c r="D125" s="16"/>
      <c r="E125" s="16"/>
      <c r="F125" s="5"/>
      <c r="G125" s="5"/>
      <c r="H125" s="5"/>
      <c r="I125" s="5"/>
      <c r="J125" s="15"/>
      <c r="K125" s="7"/>
    </row>
    <row r="126" customFormat="false" ht="42" hidden="false" customHeight="true" outlineLevel="0" collapsed="false">
      <c r="A126" s="27" t="s">
        <v>903</v>
      </c>
      <c r="B126" s="17"/>
      <c r="C126" s="16"/>
      <c r="D126" s="16"/>
      <c r="E126" s="16"/>
      <c r="F126" s="5"/>
      <c r="G126" s="5"/>
      <c r="H126" s="5"/>
      <c r="I126" s="5"/>
      <c r="J126" s="15"/>
      <c r="K126" s="7"/>
    </row>
    <row r="127" customFormat="false" ht="42" hidden="false" customHeight="true" outlineLevel="0" collapsed="false">
      <c r="A127" s="27" t="s">
        <v>904</v>
      </c>
      <c r="B127" s="17"/>
      <c r="C127" s="16"/>
      <c r="D127" s="16"/>
      <c r="E127" s="16"/>
      <c r="F127" s="5"/>
      <c r="G127" s="5"/>
      <c r="H127" s="5"/>
      <c r="I127" s="5"/>
      <c r="J127" s="15"/>
      <c r="K127" s="7"/>
    </row>
    <row r="128" customFormat="false" ht="42" hidden="false" customHeight="true" outlineLevel="0" collapsed="false">
      <c r="A128" s="27" t="s">
        <v>905</v>
      </c>
      <c r="B128" s="17"/>
      <c r="C128" s="16"/>
      <c r="D128" s="16"/>
      <c r="E128" s="16"/>
      <c r="F128" s="5"/>
      <c r="G128" s="5"/>
      <c r="H128" s="5"/>
      <c r="I128" s="5"/>
      <c r="J128" s="15"/>
      <c r="K128" s="7"/>
    </row>
    <row r="129" customFormat="false" ht="42" hidden="false" customHeight="true" outlineLevel="0" collapsed="false">
      <c r="A129" s="27" t="s">
        <v>906</v>
      </c>
      <c r="B129" s="17"/>
      <c r="C129" s="16"/>
      <c r="D129" s="16"/>
      <c r="E129" s="16"/>
      <c r="F129" s="5"/>
      <c r="G129" s="5"/>
      <c r="H129" s="5"/>
      <c r="I129" s="5"/>
      <c r="J129" s="15"/>
      <c r="K129" s="7"/>
    </row>
    <row r="130" customFormat="false" ht="42" hidden="false" customHeight="true" outlineLevel="0" collapsed="false">
      <c r="A130" s="27" t="s">
        <v>907</v>
      </c>
      <c r="B130" s="17"/>
      <c r="C130" s="16"/>
      <c r="D130" s="16"/>
      <c r="E130" s="16"/>
      <c r="F130" s="5"/>
      <c r="G130" s="5"/>
      <c r="H130" s="5"/>
      <c r="I130" s="5"/>
      <c r="J130" s="15"/>
      <c r="K130" s="7"/>
    </row>
    <row r="131" customFormat="false" ht="42" hidden="false" customHeight="true" outlineLevel="0" collapsed="false">
      <c r="A131" s="27" t="s">
        <v>908</v>
      </c>
      <c r="B131" s="17"/>
      <c r="C131" s="16"/>
      <c r="D131" s="16"/>
      <c r="E131" s="16"/>
      <c r="F131" s="5"/>
      <c r="G131" s="5"/>
      <c r="H131" s="5"/>
      <c r="I131" s="5"/>
      <c r="J131" s="15"/>
      <c r="K131" s="7"/>
    </row>
    <row r="132" customFormat="false" ht="42" hidden="false" customHeight="true" outlineLevel="0" collapsed="false">
      <c r="A132" s="27" t="s">
        <v>909</v>
      </c>
      <c r="B132" s="17"/>
      <c r="C132" s="16"/>
      <c r="D132" s="16"/>
      <c r="E132" s="16"/>
      <c r="F132" s="5"/>
      <c r="G132" s="5"/>
      <c r="H132" s="5"/>
      <c r="I132" s="5"/>
      <c r="J132" s="15"/>
      <c r="K132" s="7"/>
    </row>
    <row r="133" customFormat="false" ht="42" hidden="false" customHeight="true" outlineLevel="0" collapsed="false">
      <c r="A133" s="27" t="s">
        <v>910</v>
      </c>
      <c r="B133" s="17"/>
      <c r="C133" s="16"/>
      <c r="D133" s="16"/>
      <c r="E133" s="16"/>
      <c r="F133" s="5"/>
      <c r="G133" s="5"/>
      <c r="H133" s="5"/>
      <c r="I133" s="5"/>
      <c r="J133" s="15"/>
      <c r="K133" s="7"/>
    </row>
    <row r="134" customFormat="false" ht="42" hidden="false" customHeight="true" outlineLevel="0" collapsed="false">
      <c r="A134" s="27" t="s">
        <v>911</v>
      </c>
      <c r="B134" s="17"/>
      <c r="C134" s="16"/>
      <c r="D134" s="16"/>
      <c r="E134" s="16"/>
      <c r="F134" s="5"/>
      <c r="G134" s="5"/>
      <c r="H134" s="5"/>
      <c r="I134" s="5"/>
      <c r="J134" s="15"/>
      <c r="K134" s="7"/>
    </row>
    <row r="135" customFormat="false" ht="42" hidden="false" customHeight="true" outlineLevel="0" collapsed="false">
      <c r="A135" s="27" t="s">
        <v>912</v>
      </c>
      <c r="B135" s="17"/>
      <c r="C135" s="16"/>
      <c r="D135" s="16"/>
      <c r="E135" s="16"/>
      <c r="F135" s="5"/>
      <c r="G135" s="5"/>
      <c r="H135" s="5"/>
      <c r="I135" s="5"/>
      <c r="J135" s="15"/>
      <c r="K135" s="7"/>
    </row>
    <row r="136" customFormat="false" ht="42" hidden="false" customHeight="true" outlineLevel="0" collapsed="false">
      <c r="A136" s="27" t="s">
        <v>913</v>
      </c>
      <c r="B136" s="17"/>
      <c r="C136" s="16"/>
      <c r="D136" s="16"/>
      <c r="E136" s="16"/>
      <c r="F136" s="5"/>
      <c r="G136" s="5"/>
      <c r="H136" s="5"/>
      <c r="I136" s="5"/>
      <c r="J136" s="15"/>
      <c r="K136" s="7"/>
    </row>
    <row r="137" customFormat="false" ht="42" hidden="false" customHeight="true" outlineLevel="0" collapsed="false">
      <c r="A137" s="27" t="s">
        <v>914</v>
      </c>
      <c r="B137" s="17"/>
      <c r="C137" s="16"/>
      <c r="D137" s="16"/>
      <c r="E137" s="16"/>
      <c r="F137" s="5"/>
      <c r="G137" s="5"/>
      <c r="H137" s="5"/>
      <c r="I137" s="5"/>
      <c r="J137" s="15"/>
      <c r="K137" s="7"/>
    </row>
    <row r="138" customFormat="false" ht="42" hidden="false" customHeight="true" outlineLevel="0" collapsed="false">
      <c r="A138" s="27" t="s">
        <v>915</v>
      </c>
      <c r="B138" s="17"/>
      <c r="C138" s="16"/>
      <c r="D138" s="16"/>
      <c r="E138" s="16"/>
      <c r="F138" s="5"/>
      <c r="G138" s="5"/>
      <c r="H138" s="5"/>
      <c r="I138" s="5"/>
      <c r="J138" s="15"/>
      <c r="K138" s="7"/>
    </row>
    <row r="139" customFormat="false" ht="42" hidden="false" customHeight="true" outlineLevel="0" collapsed="false">
      <c r="A139" s="27" t="s">
        <v>916</v>
      </c>
      <c r="B139" s="17"/>
      <c r="C139" s="16"/>
      <c r="D139" s="16"/>
      <c r="E139" s="16"/>
      <c r="F139" s="5"/>
      <c r="G139" s="5"/>
      <c r="H139" s="5"/>
      <c r="I139" s="5"/>
      <c r="J139" s="15"/>
      <c r="K139" s="7"/>
    </row>
    <row r="140" customFormat="false" ht="42" hidden="false" customHeight="true" outlineLevel="0" collapsed="false">
      <c r="A140" s="27" t="s">
        <v>917</v>
      </c>
      <c r="B140" s="17"/>
      <c r="C140" s="16"/>
      <c r="D140" s="16"/>
      <c r="E140" s="16"/>
      <c r="F140" s="5"/>
      <c r="G140" s="5"/>
      <c r="H140" s="5"/>
      <c r="I140" s="5"/>
      <c r="J140" s="15"/>
      <c r="K140" s="7"/>
    </row>
    <row r="141" customFormat="false" ht="42" hidden="false" customHeight="true" outlineLevel="0" collapsed="false">
      <c r="A141" s="27" t="s">
        <v>918</v>
      </c>
      <c r="B141" s="17"/>
      <c r="C141" s="16"/>
      <c r="D141" s="16"/>
      <c r="E141" s="16"/>
      <c r="F141" s="5"/>
      <c r="G141" s="5"/>
      <c r="H141" s="5"/>
      <c r="I141" s="5"/>
      <c r="J141" s="15"/>
      <c r="K141" s="7"/>
    </row>
    <row r="142" customFormat="false" ht="42" hidden="false" customHeight="true" outlineLevel="0" collapsed="false">
      <c r="A142" s="27" t="s">
        <v>919</v>
      </c>
      <c r="B142" s="17"/>
      <c r="C142" s="16"/>
      <c r="D142" s="16"/>
      <c r="E142" s="16"/>
      <c r="F142" s="5"/>
      <c r="G142" s="5"/>
      <c r="H142" s="5"/>
      <c r="I142" s="5"/>
      <c r="J142" s="15"/>
      <c r="K142" s="7"/>
    </row>
    <row r="143" customFormat="false" ht="42" hidden="false" customHeight="true" outlineLevel="0" collapsed="false">
      <c r="A143" s="27" t="s">
        <v>920</v>
      </c>
      <c r="B143" s="17"/>
      <c r="C143" s="16"/>
      <c r="D143" s="16"/>
      <c r="E143" s="16"/>
      <c r="F143" s="5"/>
      <c r="G143" s="5"/>
      <c r="H143" s="5"/>
      <c r="I143" s="5"/>
      <c r="J143" s="15"/>
      <c r="K143" s="7"/>
    </row>
    <row r="144" customFormat="false" ht="42" hidden="false" customHeight="true" outlineLevel="0" collapsed="false">
      <c r="A144" s="27" t="s">
        <v>921</v>
      </c>
      <c r="B144" s="17"/>
      <c r="C144" s="16"/>
      <c r="D144" s="16"/>
      <c r="E144" s="16"/>
      <c r="F144" s="5"/>
      <c r="G144" s="5"/>
      <c r="H144" s="5"/>
      <c r="I144" s="5"/>
      <c r="J144" s="15"/>
      <c r="K144" s="7"/>
    </row>
    <row r="145" customFormat="false" ht="42" hidden="false" customHeight="true" outlineLevel="0" collapsed="false">
      <c r="A145" s="27" t="s">
        <v>922</v>
      </c>
      <c r="B145" s="17"/>
      <c r="C145" s="16"/>
      <c r="D145" s="16"/>
      <c r="E145" s="16"/>
      <c r="F145" s="5"/>
      <c r="G145" s="5"/>
      <c r="H145" s="5"/>
      <c r="I145" s="5"/>
      <c r="J145" s="15"/>
      <c r="K145" s="7"/>
    </row>
    <row r="146" customFormat="false" ht="42" hidden="false" customHeight="true" outlineLevel="0" collapsed="false">
      <c r="A146" s="27" t="s">
        <v>923</v>
      </c>
      <c r="B146" s="17"/>
      <c r="C146" s="16"/>
      <c r="D146" s="16"/>
      <c r="E146" s="16"/>
      <c r="F146" s="5"/>
      <c r="G146" s="5"/>
      <c r="H146" s="5"/>
      <c r="I146" s="5"/>
      <c r="J146" s="15"/>
      <c r="K146" s="7"/>
    </row>
    <row r="147" customFormat="false" ht="42" hidden="false" customHeight="true" outlineLevel="0" collapsed="false">
      <c r="A147" s="27" t="s">
        <v>924</v>
      </c>
      <c r="B147" s="17"/>
      <c r="C147" s="16"/>
      <c r="D147" s="16"/>
      <c r="E147" s="16"/>
      <c r="F147" s="5"/>
      <c r="G147" s="5"/>
      <c r="H147" s="5"/>
      <c r="I147" s="5"/>
      <c r="J147" s="15"/>
      <c r="K147" s="7"/>
    </row>
    <row r="148" customFormat="false" ht="42" hidden="false" customHeight="true" outlineLevel="0" collapsed="false">
      <c r="A148" s="27" t="s">
        <v>925</v>
      </c>
      <c r="B148" s="17"/>
      <c r="C148" s="16"/>
      <c r="D148" s="16"/>
      <c r="E148" s="16"/>
      <c r="F148" s="5"/>
      <c r="G148" s="5"/>
      <c r="H148" s="5"/>
      <c r="I148" s="5"/>
      <c r="J148" s="15"/>
      <c r="K148" s="7"/>
    </row>
    <row r="149" customFormat="false" ht="42" hidden="false" customHeight="true" outlineLevel="0" collapsed="false">
      <c r="A149" s="27" t="s">
        <v>926</v>
      </c>
      <c r="B149" s="17"/>
      <c r="C149" s="16"/>
      <c r="D149" s="16"/>
      <c r="E149" s="16"/>
      <c r="F149" s="5"/>
      <c r="G149" s="5"/>
      <c r="H149" s="5"/>
      <c r="I149" s="5"/>
      <c r="J149" s="15"/>
      <c r="K149" s="7"/>
    </row>
    <row r="150" customFormat="false" ht="42" hidden="false" customHeight="true" outlineLevel="0" collapsed="false">
      <c r="A150" s="27" t="s">
        <v>927</v>
      </c>
      <c r="B150" s="17"/>
      <c r="C150" s="16"/>
      <c r="D150" s="16"/>
      <c r="E150" s="16"/>
      <c r="F150" s="5"/>
      <c r="G150" s="5"/>
      <c r="H150" s="5"/>
      <c r="I150" s="5"/>
      <c r="J150" s="15"/>
      <c r="K150" s="7"/>
    </row>
    <row r="151" customFormat="false" ht="42" hidden="false" customHeight="true" outlineLevel="0" collapsed="false">
      <c r="A151" s="27" t="s">
        <v>928</v>
      </c>
      <c r="B151" s="17"/>
      <c r="C151" s="16"/>
      <c r="D151" s="16"/>
      <c r="E151" s="16"/>
      <c r="F151" s="5"/>
      <c r="G151" s="5"/>
      <c r="H151" s="5"/>
      <c r="I151" s="5"/>
      <c r="J151" s="15"/>
      <c r="K151" s="7"/>
    </row>
    <row r="152" customFormat="false" ht="42" hidden="false" customHeight="true" outlineLevel="0" collapsed="false">
      <c r="A152" s="27" t="s">
        <v>929</v>
      </c>
      <c r="B152" s="17"/>
      <c r="C152" s="16"/>
      <c r="D152" s="16"/>
      <c r="E152" s="16"/>
      <c r="F152" s="5"/>
      <c r="G152" s="5"/>
      <c r="H152" s="5"/>
      <c r="I152" s="5"/>
      <c r="J152" s="15"/>
      <c r="K152" s="7"/>
    </row>
    <row r="153" customFormat="false" ht="42" hidden="false" customHeight="true" outlineLevel="0" collapsed="false">
      <c r="A153" s="27" t="s">
        <v>930</v>
      </c>
      <c r="B153" s="17"/>
      <c r="C153" s="16"/>
      <c r="D153" s="16"/>
      <c r="E153" s="16"/>
      <c r="F153" s="5"/>
      <c r="G153" s="5"/>
      <c r="H153" s="5"/>
      <c r="I153" s="5"/>
      <c r="J153" s="15"/>
      <c r="K153" s="7"/>
    </row>
    <row r="154" customFormat="false" ht="42" hidden="false" customHeight="true" outlineLevel="0" collapsed="false">
      <c r="A154" s="27" t="s">
        <v>931</v>
      </c>
      <c r="B154" s="17"/>
      <c r="C154" s="16"/>
      <c r="D154" s="16"/>
      <c r="E154" s="16"/>
      <c r="F154" s="5"/>
      <c r="G154" s="5"/>
      <c r="H154" s="5"/>
      <c r="I154" s="5"/>
      <c r="J154" s="15"/>
      <c r="K154" s="7"/>
    </row>
    <row r="155" customFormat="false" ht="42" hidden="false" customHeight="true" outlineLevel="0" collapsed="false">
      <c r="A155" s="27" t="s">
        <v>932</v>
      </c>
      <c r="B155" s="17"/>
      <c r="C155" s="16"/>
      <c r="D155" s="16"/>
      <c r="E155" s="16"/>
      <c r="F155" s="5"/>
      <c r="G155" s="5"/>
      <c r="H155" s="5"/>
      <c r="I155" s="5"/>
      <c r="J155" s="15"/>
      <c r="K155" s="7"/>
    </row>
    <row r="156" customFormat="false" ht="42" hidden="false" customHeight="true" outlineLevel="0" collapsed="false">
      <c r="A156" s="27" t="s">
        <v>933</v>
      </c>
      <c r="B156" s="17"/>
      <c r="C156" s="16"/>
      <c r="D156" s="16"/>
      <c r="E156" s="16"/>
      <c r="F156" s="5"/>
      <c r="G156" s="5"/>
      <c r="H156" s="5"/>
      <c r="I156" s="5"/>
      <c r="J156" s="15"/>
      <c r="K156" s="7"/>
    </row>
    <row r="157" customFormat="false" ht="42" hidden="false" customHeight="true" outlineLevel="0" collapsed="false">
      <c r="A157" s="27" t="s">
        <v>934</v>
      </c>
      <c r="B157" s="17"/>
      <c r="C157" s="16"/>
      <c r="D157" s="16"/>
      <c r="E157" s="16"/>
      <c r="F157" s="5"/>
      <c r="G157" s="5"/>
      <c r="H157" s="5"/>
      <c r="I157" s="5"/>
      <c r="J157" s="15"/>
      <c r="K157" s="7"/>
    </row>
    <row r="158" customFormat="false" ht="42" hidden="false" customHeight="true" outlineLevel="0" collapsed="false">
      <c r="A158" s="27" t="s">
        <v>935</v>
      </c>
      <c r="B158" s="17"/>
      <c r="C158" s="16"/>
      <c r="D158" s="16"/>
      <c r="E158" s="16"/>
      <c r="F158" s="5"/>
      <c r="G158" s="5"/>
      <c r="H158" s="5"/>
      <c r="I158" s="5"/>
      <c r="J158" s="15"/>
      <c r="K158" s="7"/>
    </row>
    <row r="159" customFormat="false" ht="42" hidden="false" customHeight="true" outlineLevel="0" collapsed="false">
      <c r="A159" s="27" t="s">
        <v>936</v>
      </c>
      <c r="B159" s="17"/>
      <c r="C159" s="16"/>
      <c r="D159" s="16"/>
      <c r="E159" s="16"/>
      <c r="F159" s="5"/>
      <c r="G159" s="5"/>
      <c r="H159" s="5"/>
      <c r="I159" s="5"/>
      <c r="J159" s="15"/>
      <c r="K159" s="7"/>
    </row>
    <row r="160" customFormat="false" ht="42" hidden="false" customHeight="true" outlineLevel="0" collapsed="false">
      <c r="A160" s="27" t="s">
        <v>937</v>
      </c>
      <c r="B160" s="17"/>
      <c r="C160" s="16"/>
      <c r="D160" s="16"/>
      <c r="E160" s="16"/>
      <c r="F160" s="5"/>
      <c r="G160" s="5"/>
      <c r="H160" s="5"/>
      <c r="I160" s="5"/>
      <c r="J160" s="15"/>
      <c r="K160" s="7"/>
    </row>
    <row r="161" customFormat="false" ht="42" hidden="false" customHeight="true" outlineLevel="0" collapsed="false">
      <c r="A161" s="27" t="s">
        <v>938</v>
      </c>
      <c r="B161" s="17"/>
      <c r="C161" s="16"/>
      <c r="D161" s="16"/>
      <c r="E161" s="16"/>
      <c r="F161" s="5"/>
      <c r="G161" s="5"/>
      <c r="H161" s="5"/>
      <c r="I161" s="5"/>
      <c r="J161" s="15"/>
      <c r="K161" s="7"/>
    </row>
    <row r="162" customFormat="false" ht="42" hidden="false" customHeight="true" outlineLevel="0" collapsed="false">
      <c r="A162" s="27" t="s">
        <v>939</v>
      </c>
      <c r="B162" s="17"/>
      <c r="C162" s="16"/>
      <c r="D162" s="16"/>
      <c r="E162" s="16"/>
      <c r="F162" s="5"/>
      <c r="G162" s="5"/>
      <c r="H162" s="5"/>
      <c r="I162" s="5"/>
      <c r="J162" s="15"/>
      <c r="K162" s="7"/>
    </row>
    <row r="163" customFormat="false" ht="42" hidden="false" customHeight="true" outlineLevel="0" collapsed="false">
      <c r="A163" s="27" t="s">
        <v>940</v>
      </c>
      <c r="B163" s="17"/>
      <c r="C163" s="16"/>
      <c r="D163" s="16"/>
      <c r="E163" s="16"/>
      <c r="F163" s="5"/>
      <c r="G163" s="5"/>
      <c r="H163" s="5"/>
      <c r="I163" s="5"/>
      <c r="J163" s="15"/>
      <c r="K163" s="7"/>
    </row>
    <row r="164" customFormat="false" ht="42" hidden="false" customHeight="true" outlineLevel="0" collapsed="false">
      <c r="A164" s="27" t="s">
        <v>941</v>
      </c>
      <c r="B164" s="17"/>
      <c r="C164" s="16"/>
      <c r="D164" s="16"/>
      <c r="E164" s="16"/>
      <c r="F164" s="5"/>
      <c r="G164" s="5"/>
      <c r="H164" s="5"/>
      <c r="I164" s="5"/>
      <c r="J164" s="15"/>
      <c r="K164" s="7"/>
    </row>
    <row r="165" customFormat="false" ht="42" hidden="false" customHeight="true" outlineLevel="0" collapsed="false">
      <c r="A165" s="27" t="s">
        <v>942</v>
      </c>
      <c r="B165" s="17"/>
      <c r="C165" s="16"/>
      <c r="D165" s="16"/>
      <c r="E165" s="16"/>
      <c r="F165" s="5"/>
      <c r="G165" s="5"/>
      <c r="H165" s="5"/>
      <c r="I165" s="5"/>
      <c r="J165" s="15"/>
      <c r="K165" s="7"/>
    </row>
    <row r="166" customFormat="false" ht="42" hidden="false" customHeight="true" outlineLevel="0" collapsed="false">
      <c r="A166" s="27" t="s">
        <v>943</v>
      </c>
      <c r="B166" s="17"/>
      <c r="C166" s="16"/>
      <c r="D166" s="16"/>
      <c r="E166" s="16"/>
      <c r="F166" s="5"/>
      <c r="G166" s="5"/>
      <c r="H166" s="5"/>
      <c r="I166" s="5"/>
      <c r="J166" s="15"/>
      <c r="K166" s="7"/>
    </row>
    <row r="167" customFormat="false" ht="42" hidden="false" customHeight="true" outlineLevel="0" collapsed="false">
      <c r="A167" s="27" t="s">
        <v>944</v>
      </c>
      <c r="B167" s="17"/>
      <c r="C167" s="16"/>
      <c r="D167" s="16"/>
      <c r="E167" s="16"/>
      <c r="F167" s="5"/>
      <c r="G167" s="5"/>
      <c r="H167" s="5"/>
      <c r="I167" s="5"/>
      <c r="J167" s="15"/>
      <c r="K167" s="7"/>
    </row>
    <row r="168" customFormat="false" ht="42" hidden="false" customHeight="true" outlineLevel="0" collapsed="false">
      <c r="A168" s="27" t="s">
        <v>945</v>
      </c>
      <c r="B168" s="17"/>
      <c r="C168" s="16"/>
      <c r="D168" s="16"/>
      <c r="E168" s="16"/>
      <c r="F168" s="5"/>
      <c r="G168" s="5"/>
      <c r="H168" s="5"/>
      <c r="I168" s="5"/>
      <c r="J168" s="15"/>
      <c r="K168" s="7"/>
    </row>
    <row r="169" customFormat="false" ht="42" hidden="false" customHeight="true" outlineLevel="0" collapsed="false">
      <c r="A169" s="27" t="s">
        <v>946</v>
      </c>
      <c r="B169" s="17"/>
      <c r="C169" s="16"/>
      <c r="D169" s="16"/>
      <c r="E169" s="16"/>
      <c r="F169" s="5"/>
      <c r="G169" s="5"/>
      <c r="H169" s="5"/>
      <c r="I169" s="5"/>
      <c r="J169" s="15"/>
      <c r="K169" s="7"/>
    </row>
    <row r="170" customFormat="false" ht="42" hidden="false" customHeight="true" outlineLevel="0" collapsed="false">
      <c r="A170" s="27" t="s">
        <v>947</v>
      </c>
      <c r="B170" s="17"/>
      <c r="C170" s="16"/>
      <c r="D170" s="16"/>
      <c r="E170" s="16"/>
      <c r="F170" s="5"/>
      <c r="G170" s="5"/>
      <c r="H170" s="5"/>
      <c r="I170" s="5"/>
      <c r="J170" s="15"/>
      <c r="K170" s="7"/>
    </row>
    <row r="171" customFormat="false" ht="42" hidden="false" customHeight="true" outlineLevel="0" collapsed="false">
      <c r="A171" s="27" t="s">
        <v>948</v>
      </c>
      <c r="B171" s="17"/>
      <c r="C171" s="16"/>
      <c r="D171" s="16"/>
      <c r="E171" s="16"/>
      <c r="F171" s="5"/>
      <c r="G171" s="5"/>
      <c r="H171" s="5"/>
      <c r="I171" s="5"/>
      <c r="J171" s="15"/>
      <c r="K171" s="7"/>
    </row>
    <row r="172" customFormat="false" ht="42" hidden="false" customHeight="true" outlineLevel="0" collapsed="false">
      <c r="A172" s="27" t="s">
        <v>949</v>
      </c>
      <c r="B172" s="17"/>
      <c r="C172" s="16"/>
      <c r="D172" s="16"/>
      <c r="E172" s="16"/>
      <c r="F172" s="5"/>
      <c r="G172" s="5"/>
      <c r="H172" s="5"/>
      <c r="I172" s="5"/>
      <c r="J172" s="15"/>
      <c r="K172" s="7"/>
    </row>
    <row r="173" customFormat="false" ht="42" hidden="false" customHeight="true" outlineLevel="0" collapsed="false">
      <c r="A173" s="27" t="s">
        <v>950</v>
      </c>
      <c r="B173" s="17"/>
      <c r="C173" s="16"/>
      <c r="D173" s="16"/>
      <c r="E173" s="16"/>
      <c r="F173" s="5"/>
      <c r="G173" s="5"/>
      <c r="H173" s="5"/>
      <c r="I173" s="5"/>
      <c r="J173" s="15"/>
      <c r="K173" s="7"/>
    </row>
    <row r="174" customFormat="false" ht="42" hidden="false" customHeight="true" outlineLevel="0" collapsed="false">
      <c r="A174" s="27" t="s">
        <v>951</v>
      </c>
      <c r="B174" s="17"/>
      <c r="C174" s="16"/>
      <c r="D174" s="16"/>
      <c r="E174" s="16"/>
      <c r="F174" s="5"/>
      <c r="G174" s="5"/>
      <c r="H174" s="5"/>
      <c r="I174" s="5"/>
      <c r="J174" s="15"/>
      <c r="K174" s="7"/>
    </row>
    <row r="175" customFormat="false" ht="42" hidden="false" customHeight="true" outlineLevel="0" collapsed="false">
      <c r="A175" s="27" t="s">
        <v>952</v>
      </c>
      <c r="B175" s="17"/>
      <c r="C175" s="16"/>
      <c r="D175" s="16"/>
      <c r="E175" s="16"/>
      <c r="F175" s="5"/>
      <c r="G175" s="5"/>
      <c r="H175" s="5"/>
      <c r="I175" s="5"/>
      <c r="J175" s="15"/>
      <c r="K175" s="7"/>
    </row>
    <row r="176" customFormat="false" ht="42" hidden="false" customHeight="true" outlineLevel="0" collapsed="false">
      <c r="A176" s="27" t="s">
        <v>953</v>
      </c>
      <c r="B176" s="17"/>
      <c r="C176" s="16"/>
      <c r="D176" s="16"/>
      <c r="E176" s="16"/>
      <c r="F176" s="5"/>
      <c r="G176" s="5"/>
      <c r="H176" s="5"/>
      <c r="I176" s="5"/>
      <c r="J176" s="15"/>
      <c r="K176" s="7"/>
    </row>
    <row r="177" customFormat="false" ht="42" hidden="false" customHeight="true" outlineLevel="0" collapsed="false">
      <c r="A177" s="27" t="s">
        <v>954</v>
      </c>
      <c r="B177" s="17"/>
      <c r="C177" s="16"/>
      <c r="D177" s="16"/>
      <c r="E177" s="16"/>
      <c r="F177" s="5"/>
      <c r="G177" s="5"/>
      <c r="H177" s="5"/>
      <c r="I177" s="5"/>
      <c r="J177" s="15"/>
      <c r="K177" s="7"/>
    </row>
    <row r="178" customFormat="false" ht="42" hidden="false" customHeight="true" outlineLevel="0" collapsed="false">
      <c r="A178" s="27" t="s">
        <v>955</v>
      </c>
      <c r="B178" s="17"/>
      <c r="C178" s="16"/>
      <c r="D178" s="16"/>
      <c r="E178" s="16"/>
      <c r="F178" s="5"/>
      <c r="G178" s="5"/>
      <c r="H178" s="5"/>
      <c r="I178" s="5"/>
      <c r="J178" s="15"/>
      <c r="K178" s="7"/>
    </row>
    <row r="179" customFormat="false" ht="42" hidden="false" customHeight="true" outlineLevel="0" collapsed="false">
      <c r="A179" s="27" t="s">
        <v>956</v>
      </c>
      <c r="B179" s="17"/>
      <c r="C179" s="16"/>
      <c r="D179" s="16"/>
      <c r="E179" s="16"/>
      <c r="F179" s="5"/>
      <c r="G179" s="5"/>
      <c r="H179" s="5"/>
      <c r="I179" s="5"/>
      <c r="J179" s="15"/>
      <c r="K179" s="7"/>
    </row>
    <row r="180" customFormat="false" ht="42" hidden="false" customHeight="true" outlineLevel="0" collapsed="false">
      <c r="A180" s="27" t="s">
        <v>957</v>
      </c>
      <c r="B180" s="17"/>
      <c r="C180" s="16"/>
      <c r="D180" s="16"/>
      <c r="E180" s="16"/>
      <c r="F180" s="5"/>
      <c r="G180" s="5"/>
      <c r="H180" s="5"/>
      <c r="I180" s="5"/>
      <c r="J180" s="15"/>
      <c r="K180" s="7"/>
    </row>
    <row r="181" customFormat="false" ht="42" hidden="false" customHeight="true" outlineLevel="0" collapsed="false">
      <c r="A181" s="27" t="s">
        <v>958</v>
      </c>
      <c r="B181" s="17"/>
      <c r="C181" s="16"/>
      <c r="D181" s="16"/>
      <c r="E181" s="16"/>
      <c r="F181" s="5"/>
      <c r="G181" s="5"/>
      <c r="H181" s="5"/>
      <c r="I181" s="5"/>
      <c r="J181" s="15"/>
      <c r="K181" s="7"/>
    </row>
    <row r="182" customFormat="false" ht="42" hidden="false" customHeight="true" outlineLevel="0" collapsed="false">
      <c r="A182" s="27" t="s">
        <v>959</v>
      </c>
      <c r="B182" s="17"/>
      <c r="C182" s="16"/>
      <c r="D182" s="16"/>
      <c r="E182" s="16"/>
      <c r="F182" s="5"/>
      <c r="G182" s="5"/>
      <c r="H182" s="5"/>
      <c r="I182" s="5"/>
      <c r="J182" s="15"/>
      <c r="K182" s="7"/>
    </row>
    <row r="183" customFormat="false" ht="42" hidden="false" customHeight="true" outlineLevel="0" collapsed="false">
      <c r="A183" s="27" t="s">
        <v>960</v>
      </c>
      <c r="B183" s="17"/>
      <c r="C183" s="16"/>
      <c r="D183" s="16"/>
      <c r="E183" s="16"/>
      <c r="F183" s="5"/>
      <c r="G183" s="5"/>
      <c r="H183" s="5"/>
      <c r="I183" s="5"/>
      <c r="J183" s="15"/>
      <c r="K183" s="7"/>
    </row>
    <row r="184" customFormat="false" ht="42" hidden="false" customHeight="true" outlineLevel="0" collapsed="false">
      <c r="A184" s="27" t="s">
        <v>961</v>
      </c>
      <c r="B184" s="17"/>
      <c r="C184" s="16"/>
      <c r="D184" s="16"/>
      <c r="E184" s="16"/>
      <c r="F184" s="5"/>
      <c r="G184" s="5"/>
      <c r="H184" s="5"/>
      <c r="I184" s="5"/>
      <c r="J184" s="15"/>
      <c r="K184" s="7"/>
    </row>
    <row r="185" customFormat="false" ht="42" hidden="false" customHeight="true" outlineLevel="0" collapsed="false">
      <c r="A185" s="27" t="s">
        <v>962</v>
      </c>
      <c r="B185" s="17"/>
      <c r="C185" s="16"/>
      <c r="D185" s="16"/>
      <c r="E185" s="16"/>
      <c r="F185" s="5"/>
      <c r="G185" s="5"/>
      <c r="H185" s="5"/>
      <c r="I185" s="5"/>
      <c r="J185" s="15"/>
      <c r="K185" s="7"/>
    </row>
    <row r="186" customFormat="false" ht="42" hidden="false" customHeight="true" outlineLevel="0" collapsed="false">
      <c r="A186" s="27" t="s">
        <v>963</v>
      </c>
      <c r="B186" s="17"/>
      <c r="C186" s="16"/>
      <c r="D186" s="16"/>
      <c r="E186" s="16"/>
      <c r="F186" s="5"/>
      <c r="G186" s="5"/>
      <c r="H186" s="5"/>
      <c r="I186" s="5"/>
      <c r="J186" s="15"/>
      <c r="K186" s="7"/>
    </row>
    <row r="187" customFormat="false" ht="42" hidden="false" customHeight="true" outlineLevel="0" collapsed="false">
      <c r="A187" s="27" t="s">
        <v>964</v>
      </c>
      <c r="B187" s="17"/>
      <c r="C187" s="16"/>
      <c r="D187" s="16"/>
      <c r="E187" s="16"/>
      <c r="F187" s="5"/>
      <c r="G187" s="5"/>
      <c r="H187" s="5"/>
      <c r="I187" s="5"/>
      <c r="J187" s="15"/>
      <c r="K187" s="7"/>
    </row>
    <row r="188" customFormat="false" ht="42" hidden="false" customHeight="true" outlineLevel="0" collapsed="false">
      <c r="A188" s="27" t="s">
        <v>965</v>
      </c>
      <c r="B188" s="17"/>
      <c r="C188" s="16"/>
      <c r="D188" s="16"/>
      <c r="E188" s="16"/>
      <c r="F188" s="5"/>
      <c r="G188" s="5"/>
      <c r="H188" s="5"/>
      <c r="I188" s="5"/>
      <c r="J188" s="15"/>
      <c r="K188" s="7"/>
    </row>
    <row r="189" customFormat="false" ht="42" hidden="false" customHeight="true" outlineLevel="0" collapsed="false">
      <c r="A189" s="27" t="s">
        <v>966</v>
      </c>
      <c r="B189" s="17"/>
      <c r="C189" s="16"/>
      <c r="D189" s="16"/>
      <c r="E189" s="16"/>
      <c r="F189" s="5"/>
      <c r="G189" s="5"/>
      <c r="H189" s="5"/>
      <c r="I189" s="5"/>
      <c r="J189" s="15"/>
      <c r="K189" s="7"/>
    </row>
    <row r="190" customFormat="false" ht="42" hidden="false" customHeight="true" outlineLevel="0" collapsed="false">
      <c r="A190" s="27" t="s">
        <v>967</v>
      </c>
      <c r="B190" s="17"/>
      <c r="C190" s="16"/>
      <c r="D190" s="16"/>
      <c r="E190" s="16"/>
      <c r="F190" s="5"/>
      <c r="G190" s="5"/>
      <c r="H190" s="5"/>
      <c r="I190" s="5"/>
      <c r="J190" s="15"/>
      <c r="K190" s="7"/>
    </row>
    <row r="191" customFormat="false" ht="42" hidden="false" customHeight="true" outlineLevel="0" collapsed="false">
      <c r="A191" s="27" t="s">
        <v>968</v>
      </c>
      <c r="B191" s="17"/>
      <c r="C191" s="16"/>
      <c r="D191" s="16"/>
      <c r="E191" s="16"/>
      <c r="F191" s="5"/>
      <c r="G191" s="5"/>
      <c r="H191" s="5"/>
      <c r="I191" s="5"/>
      <c r="J191" s="15"/>
      <c r="K191" s="7"/>
    </row>
    <row r="192" customFormat="false" ht="42" hidden="false" customHeight="true" outlineLevel="0" collapsed="false">
      <c r="A192" s="27" t="s">
        <v>969</v>
      </c>
      <c r="B192" s="17"/>
      <c r="C192" s="16"/>
      <c r="D192" s="16"/>
      <c r="E192" s="16"/>
      <c r="F192" s="5"/>
      <c r="G192" s="5"/>
      <c r="H192" s="5"/>
      <c r="I192" s="5"/>
      <c r="J192" s="15"/>
      <c r="K192" s="7"/>
    </row>
    <row r="193" customFormat="false" ht="42" hidden="false" customHeight="true" outlineLevel="0" collapsed="false">
      <c r="A193" s="27" t="s">
        <v>970</v>
      </c>
      <c r="B193" s="17"/>
      <c r="C193" s="16"/>
      <c r="D193" s="16"/>
      <c r="E193" s="16"/>
      <c r="F193" s="5"/>
      <c r="G193" s="5"/>
      <c r="H193" s="5"/>
      <c r="I193" s="5"/>
      <c r="J193" s="15"/>
      <c r="K193" s="7"/>
    </row>
    <row r="194" customFormat="false" ht="42" hidden="false" customHeight="true" outlineLevel="0" collapsed="false">
      <c r="A194" s="27" t="s">
        <v>971</v>
      </c>
      <c r="B194" s="17"/>
      <c r="C194" s="16"/>
      <c r="D194" s="16"/>
      <c r="E194" s="16"/>
      <c r="F194" s="5"/>
      <c r="G194" s="5"/>
      <c r="H194" s="5"/>
      <c r="I194" s="5"/>
      <c r="J194" s="15"/>
      <c r="K194" s="7"/>
    </row>
    <row r="195" customFormat="false" ht="42" hidden="false" customHeight="true" outlineLevel="0" collapsed="false">
      <c r="A195" s="27" t="s">
        <v>972</v>
      </c>
      <c r="B195" s="17"/>
      <c r="C195" s="16"/>
      <c r="D195" s="16"/>
      <c r="E195" s="16"/>
      <c r="F195" s="5"/>
      <c r="G195" s="5"/>
      <c r="H195" s="5"/>
      <c r="I195" s="5"/>
      <c r="J195" s="15"/>
      <c r="K195" s="7"/>
    </row>
    <row r="196" customFormat="false" ht="42" hidden="false" customHeight="true" outlineLevel="0" collapsed="false">
      <c r="A196" s="27" t="s">
        <v>973</v>
      </c>
      <c r="B196" s="17"/>
      <c r="C196" s="16"/>
      <c r="D196" s="16"/>
      <c r="E196" s="16"/>
      <c r="F196" s="5"/>
      <c r="G196" s="5"/>
      <c r="H196" s="5"/>
      <c r="I196" s="5"/>
      <c r="J196" s="15"/>
      <c r="K196" s="7"/>
    </row>
    <row r="197" customFormat="false" ht="42" hidden="false" customHeight="true" outlineLevel="0" collapsed="false">
      <c r="A197" s="27" t="s">
        <v>974</v>
      </c>
      <c r="B197" s="17"/>
      <c r="C197" s="16"/>
      <c r="D197" s="16"/>
      <c r="E197" s="16"/>
      <c r="F197" s="5"/>
      <c r="G197" s="5"/>
      <c r="H197" s="5"/>
      <c r="I197" s="5"/>
      <c r="J197" s="15"/>
      <c r="K197" s="7"/>
    </row>
    <row r="198" customFormat="false" ht="42" hidden="false" customHeight="true" outlineLevel="0" collapsed="false">
      <c r="A198" s="27" t="s">
        <v>975</v>
      </c>
      <c r="B198" s="17"/>
      <c r="C198" s="16"/>
      <c r="D198" s="16"/>
      <c r="E198" s="16"/>
      <c r="F198" s="5"/>
      <c r="G198" s="5"/>
      <c r="H198" s="5"/>
      <c r="I198" s="5"/>
      <c r="J198" s="15"/>
      <c r="K198" s="7"/>
    </row>
    <row r="199" customFormat="false" ht="42" hidden="false" customHeight="true" outlineLevel="0" collapsed="false">
      <c r="A199" s="27" t="s">
        <v>976</v>
      </c>
      <c r="B199" s="17"/>
      <c r="C199" s="16"/>
      <c r="D199" s="16"/>
      <c r="E199" s="16"/>
      <c r="F199" s="5"/>
      <c r="G199" s="5"/>
      <c r="H199" s="5"/>
      <c r="I199" s="5"/>
      <c r="J199" s="15"/>
      <c r="K199" s="7"/>
    </row>
    <row r="200" customFormat="false" ht="42" hidden="false" customHeight="true" outlineLevel="0" collapsed="false">
      <c r="A200" s="27" t="s">
        <v>977</v>
      </c>
      <c r="B200" s="17"/>
      <c r="C200" s="16"/>
      <c r="D200" s="16"/>
      <c r="E200" s="16"/>
      <c r="F200" s="5"/>
      <c r="G200" s="5"/>
      <c r="H200" s="5"/>
      <c r="I200" s="5"/>
      <c r="J200" s="15"/>
      <c r="K200" s="7"/>
    </row>
    <row r="201" customFormat="false" ht="42" hidden="false" customHeight="true" outlineLevel="0" collapsed="false">
      <c r="A201" s="27" t="s">
        <v>978</v>
      </c>
      <c r="B201" s="17"/>
      <c r="C201" s="16"/>
      <c r="D201" s="16"/>
      <c r="E201" s="16"/>
      <c r="F201" s="5"/>
      <c r="G201" s="5"/>
      <c r="H201" s="5"/>
      <c r="I201" s="5"/>
      <c r="J201" s="15"/>
      <c r="K201" s="7"/>
    </row>
    <row r="202" customFormat="false" ht="42" hidden="false" customHeight="true" outlineLevel="0" collapsed="false">
      <c r="A202" s="27" t="s">
        <v>979</v>
      </c>
      <c r="B202" s="17"/>
      <c r="C202" s="16"/>
      <c r="D202" s="16"/>
      <c r="E202" s="16"/>
      <c r="F202" s="5"/>
      <c r="G202" s="5"/>
      <c r="H202" s="5"/>
      <c r="I202" s="5"/>
      <c r="J202" s="15"/>
      <c r="K202" s="7"/>
    </row>
    <row r="203" customFormat="false" ht="42" hidden="false" customHeight="true" outlineLevel="0" collapsed="false">
      <c r="A203" s="27" t="s">
        <v>980</v>
      </c>
      <c r="B203" s="17"/>
      <c r="C203" s="16"/>
      <c r="D203" s="16"/>
      <c r="E203" s="16"/>
      <c r="F203" s="5"/>
      <c r="G203" s="5"/>
      <c r="H203" s="5"/>
      <c r="I203" s="5"/>
      <c r="J203" s="15"/>
      <c r="K203" s="7"/>
    </row>
    <row r="204" customFormat="false" ht="42" hidden="false" customHeight="true" outlineLevel="0" collapsed="false">
      <c r="A204" s="27" t="s">
        <v>981</v>
      </c>
      <c r="B204" s="17"/>
      <c r="C204" s="16"/>
      <c r="D204" s="16"/>
      <c r="E204" s="16"/>
      <c r="F204" s="5"/>
      <c r="G204" s="5"/>
      <c r="H204" s="5"/>
      <c r="I204" s="5"/>
      <c r="J204" s="15"/>
      <c r="K204" s="7"/>
    </row>
    <row r="205" customFormat="false" ht="42" hidden="false" customHeight="true" outlineLevel="0" collapsed="false">
      <c r="A205" s="27" t="s">
        <v>982</v>
      </c>
      <c r="B205" s="17"/>
      <c r="C205" s="16"/>
      <c r="D205" s="16"/>
      <c r="E205" s="16"/>
      <c r="F205" s="5"/>
      <c r="G205" s="5"/>
      <c r="H205" s="5"/>
      <c r="I205" s="5"/>
      <c r="J205" s="15"/>
      <c r="K205" s="7"/>
    </row>
    <row r="206" customFormat="false" ht="42" hidden="false" customHeight="true" outlineLevel="0" collapsed="false">
      <c r="A206" s="27" t="s">
        <v>983</v>
      </c>
      <c r="B206" s="17"/>
      <c r="C206" s="16"/>
      <c r="D206" s="16"/>
      <c r="E206" s="16"/>
      <c r="F206" s="5"/>
      <c r="G206" s="5"/>
      <c r="H206" s="5"/>
      <c r="I206" s="5"/>
      <c r="J206" s="15"/>
      <c r="K206" s="7"/>
    </row>
    <row r="207" customFormat="false" ht="42" hidden="false" customHeight="true" outlineLevel="0" collapsed="false">
      <c r="A207" s="27" t="s">
        <v>984</v>
      </c>
      <c r="B207" s="17"/>
      <c r="C207" s="16"/>
      <c r="D207" s="16"/>
      <c r="E207" s="16"/>
      <c r="F207" s="5"/>
      <c r="G207" s="5"/>
      <c r="H207" s="5"/>
      <c r="I207" s="5"/>
      <c r="J207" s="15"/>
      <c r="K207" s="7"/>
    </row>
    <row r="208" customFormat="false" ht="42" hidden="false" customHeight="true" outlineLevel="0" collapsed="false">
      <c r="A208" s="27" t="s">
        <v>985</v>
      </c>
      <c r="B208" s="17"/>
      <c r="C208" s="16"/>
      <c r="D208" s="16"/>
      <c r="E208" s="16"/>
      <c r="F208" s="5"/>
      <c r="G208" s="5"/>
      <c r="H208" s="5"/>
      <c r="I208" s="5"/>
      <c r="J208" s="15"/>
      <c r="K208" s="7"/>
    </row>
    <row r="209" customFormat="false" ht="42" hidden="false" customHeight="true" outlineLevel="0" collapsed="false">
      <c r="A209" s="27" t="s">
        <v>986</v>
      </c>
      <c r="B209" s="17"/>
      <c r="C209" s="16"/>
      <c r="D209" s="16"/>
      <c r="E209" s="16"/>
      <c r="F209" s="5"/>
      <c r="G209" s="5"/>
      <c r="H209" s="5"/>
      <c r="I209" s="5"/>
      <c r="J209" s="15"/>
      <c r="K209" s="7"/>
    </row>
    <row r="210" customFormat="false" ht="42" hidden="false" customHeight="true" outlineLevel="0" collapsed="false">
      <c r="A210" s="27" t="s">
        <v>987</v>
      </c>
      <c r="B210" s="17"/>
      <c r="C210" s="16"/>
      <c r="D210" s="16"/>
      <c r="E210" s="16"/>
      <c r="F210" s="5"/>
      <c r="G210" s="5"/>
      <c r="H210" s="5"/>
      <c r="I210" s="5"/>
      <c r="J210" s="15"/>
      <c r="K210" s="7"/>
    </row>
    <row r="211" customFormat="false" ht="42" hidden="false" customHeight="true" outlineLevel="0" collapsed="false">
      <c r="A211" s="27" t="s">
        <v>988</v>
      </c>
      <c r="B211" s="17"/>
      <c r="C211" s="16"/>
      <c r="D211" s="16"/>
      <c r="E211" s="16"/>
      <c r="F211" s="5"/>
      <c r="G211" s="5"/>
      <c r="H211" s="5"/>
      <c r="I211" s="5"/>
      <c r="J211" s="15"/>
      <c r="K211" s="7"/>
    </row>
    <row r="212" customFormat="false" ht="42" hidden="false" customHeight="true" outlineLevel="0" collapsed="false">
      <c r="A212" s="27" t="s">
        <v>989</v>
      </c>
      <c r="B212" s="17"/>
      <c r="C212" s="16"/>
      <c r="D212" s="16"/>
      <c r="E212" s="16"/>
      <c r="F212" s="5"/>
      <c r="G212" s="5"/>
      <c r="H212" s="5"/>
      <c r="I212" s="5"/>
      <c r="J212" s="15"/>
      <c r="K212" s="7"/>
    </row>
    <row r="213" customFormat="false" ht="42" hidden="false" customHeight="true" outlineLevel="0" collapsed="false">
      <c r="A213" s="27" t="s">
        <v>990</v>
      </c>
      <c r="B213" s="17"/>
      <c r="C213" s="16"/>
      <c r="D213" s="16"/>
      <c r="E213" s="16"/>
      <c r="F213" s="5"/>
      <c r="G213" s="5"/>
      <c r="H213" s="5"/>
      <c r="I213" s="5"/>
      <c r="J213" s="15"/>
      <c r="K213" s="7"/>
    </row>
    <row r="214" customFormat="false" ht="42" hidden="false" customHeight="true" outlineLevel="0" collapsed="false">
      <c r="A214" s="27" t="s">
        <v>991</v>
      </c>
      <c r="B214" s="17"/>
      <c r="C214" s="16"/>
      <c r="D214" s="16"/>
      <c r="E214" s="16"/>
      <c r="F214" s="5"/>
      <c r="G214" s="5"/>
      <c r="H214" s="5"/>
      <c r="I214" s="5"/>
      <c r="J214" s="15"/>
      <c r="K214" s="7"/>
    </row>
    <row r="215" customFormat="false" ht="42" hidden="false" customHeight="true" outlineLevel="0" collapsed="false">
      <c r="A215" s="27" t="s">
        <v>992</v>
      </c>
      <c r="B215" s="17"/>
      <c r="C215" s="16"/>
      <c r="D215" s="16"/>
      <c r="E215" s="16"/>
      <c r="F215" s="5"/>
      <c r="G215" s="5"/>
      <c r="H215" s="5"/>
      <c r="I215" s="5"/>
      <c r="J215" s="15"/>
      <c r="K215" s="7"/>
    </row>
    <row r="216" customFormat="false" ht="42" hidden="false" customHeight="true" outlineLevel="0" collapsed="false">
      <c r="A216" s="27" t="s">
        <v>993</v>
      </c>
      <c r="B216" s="17"/>
      <c r="C216" s="16"/>
      <c r="D216" s="16"/>
      <c r="E216" s="16"/>
      <c r="F216" s="5"/>
      <c r="G216" s="5"/>
      <c r="H216" s="5"/>
      <c r="I216" s="5"/>
      <c r="J216" s="15"/>
      <c r="K216" s="7"/>
    </row>
    <row r="217" customFormat="false" ht="42" hidden="false" customHeight="true" outlineLevel="0" collapsed="false">
      <c r="A217" s="27" t="s">
        <v>994</v>
      </c>
      <c r="B217" s="17"/>
      <c r="C217" s="16"/>
      <c r="D217" s="16"/>
      <c r="E217" s="16"/>
      <c r="F217" s="5"/>
      <c r="G217" s="5"/>
      <c r="H217" s="5"/>
      <c r="I217" s="5"/>
      <c r="J217" s="15"/>
      <c r="K217" s="7"/>
    </row>
    <row r="218" customFormat="false" ht="42" hidden="false" customHeight="true" outlineLevel="0" collapsed="false">
      <c r="A218" s="27" t="s">
        <v>995</v>
      </c>
      <c r="B218" s="17"/>
      <c r="C218" s="16"/>
      <c r="D218" s="16"/>
      <c r="E218" s="16"/>
      <c r="F218" s="5"/>
      <c r="G218" s="5"/>
      <c r="H218" s="5"/>
      <c r="I218" s="5"/>
      <c r="J218" s="15"/>
      <c r="K218" s="7"/>
    </row>
    <row r="219" customFormat="false" ht="42" hidden="false" customHeight="true" outlineLevel="0" collapsed="false">
      <c r="A219" s="27" t="s">
        <v>996</v>
      </c>
      <c r="B219" s="17"/>
      <c r="C219" s="16"/>
      <c r="D219" s="16"/>
      <c r="E219" s="16"/>
      <c r="F219" s="5"/>
      <c r="G219" s="5"/>
      <c r="H219" s="5"/>
      <c r="I219" s="5"/>
      <c r="J219" s="15"/>
      <c r="K219" s="7"/>
    </row>
    <row r="220" customFormat="false" ht="42" hidden="false" customHeight="true" outlineLevel="0" collapsed="false">
      <c r="A220" s="27" t="s">
        <v>997</v>
      </c>
      <c r="B220" s="17"/>
      <c r="C220" s="16"/>
      <c r="D220" s="16"/>
      <c r="E220" s="16"/>
      <c r="F220" s="5"/>
      <c r="G220" s="5"/>
      <c r="H220" s="5"/>
      <c r="I220" s="5"/>
      <c r="J220" s="15"/>
      <c r="K220" s="7"/>
    </row>
    <row r="221" customFormat="false" ht="42" hidden="false" customHeight="true" outlineLevel="0" collapsed="false">
      <c r="A221" s="27" t="s">
        <v>998</v>
      </c>
      <c r="B221" s="17"/>
      <c r="C221" s="16"/>
      <c r="D221" s="16"/>
      <c r="E221" s="16"/>
      <c r="F221" s="5"/>
      <c r="G221" s="5"/>
      <c r="H221" s="5"/>
      <c r="I221" s="5"/>
      <c r="J221" s="15"/>
      <c r="K221" s="7"/>
    </row>
    <row r="222" customFormat="false" ht="42" hidden="false" customHeight="true" outlineLevel="0" collapsed="false">
      <c r="A222" s="27" t="s">
        <v>999</v>
      </c>
      <c r="B222" s="17"/>
      <c r="C222" s="16"/>
      <c r="D222" s="16"/>
      <c r="E222" s="16"/>
      <c r="F222" s="5"/>
      <c r="G222" s="5"/>
      <c r="H222" s="5"/>
      <c r="I222" s="5"/>
      <c r="J222" s="15"/>
      <c r="K222" s="7"/>
    </row>
    <row r="223" customFormat="false" ht="42" hidden="false" customHeight="true" outlineLevel="0" collapsed="false">
      <c r="A223" s="27" t="s">
        <v>1000</v>
      </c>
      <c r="B223" s="17"/>
      <c r="C223" s="16"/>
      <c r="D223" s="16"/>
      <c r="E223" s="16"/>
      <c r="F223" s="5"/>
      <c r="G223" s="5"/>
      <c r="H223" s="5"/>
      <c r="I223" s="5"/>
      <c r="J223" s="15"/>
      <c r="K223" s="7"/>
    </row>
    <row r="224" customFormat="false" ht="42" hidden="false" customHeight="true" outlineLevel="0" collapsed="false">
      <c r="A224" s="27" t="s">
        <v>1001</v>
      </c>
      <c r="B224" s="17"/>
      <c r="C224" s="16"/>
      <c r="D224" s="16"/>
      <c r="E224" s="16"/>
      <c r="F224" s="5"/>
      <c r="G224" s="5"/>
      <c r="H224" s="5"/>
      <c r="I224" s="5"/>
      <c r="J224" s="15"/>
      <c r="K224" s="7"/>
    </row>
    <row r="225" customFormat="false" ht="42" hidden="false" customHeight="true" outlineLevel="0" collapsed="false">
      <c r="A225" s="27" t="s">
        <v>1002</v>
      </c>
      <c r="B225" s="17"/>
      <c r="C225" s="16"/>
      <c r="D225" s="16"/>
      <c r="E225" s="16"/>
      <c r="F225" s="5"/>
      <c r="G225" s="5"/>
      <c r="H225" s="5"/>
      <c r="I225" s="5"/>
      <c r="J225" s="15"/>
      <c r="K225" s="7"/>
    </row>
    <row r="226" customFormat="false" ht="42" hidden="false" customHeight="true" outlineLevel="0" collapsed="false">
      <c r="A226" s="27" t="s">
        <v>1003</v>
      </c>
      <c r="B226" s="17"/>
      <c r="C226" s="16"/>
      <c r="D226" s="16"/>
      <c r="E226" s="16"/>
      <c r="F226" s="5"/>
      <c r="G226" s="5"/>
      <c r="H226" s="5"/>
      <c r="I226" s="5"/>
      <c r="J226" s="15"/>
      <c r="K226" s="7"/>
    </row>
    <row r="227" customFormat="false" ht="42" hidden="false" customHeight="true" outlineLevel="0" collapsed="false">
      <c r="A227" s="27" t="s">
        <v>1004</v>
      </c>
      <c r="B227" s="17"/>
      <c r="C227" s="16"/>
      <c r="D227" s="16"/>
      <c r="E227" s="16"/>
      <c r="F227" s="5"/>
      <c r="G227" s="5"/>
      <c r="H227" s="5"/>
      <c r="I227" s="5"/>
      <c r="J227" s="15"/>
      <c r="K227" s="7"/>
    </row>
    <row r="228" customFormat="false" ht="42" hidden="false" customHeight="true" outlineLevel="0" collapsed="false">
      <c r="A228" s="27" t="s">
        <v>1005</v>
      </c>
      <c r="B228" s="17"/>
      <c r="C228" s="16"/>
      <c r="D228" s="16"/>
      <c r="E228" s="16"/>
      <c r="F228" s="5"/>
      <c r="G228" s="5"/>
      <c r="H228" s="5"/>
      <c r="I228" s="5"/>
      <c r="J228" s="15"/>
      <c r="K228" s="7"/>
    </row>
    <row r="229" customFormat="false" ht="42" hidden="false" customHeight="true" outlineLevel="0" collapsed="false">
      <c r="A229" s="27" t="s">
        <v>1006</v>
      </c>
      <c r="B229" s="17"/>
      <c r="C229" s="16"/>
      <c r="D229" s="16"/>
      <c r="E229" s="16"/>
      <c r="F229" s="5"/>
      <c r="G229" s="5"/>
      <c r="H229" s="5"/>
      <c r="I229" s="5"/>
      <c r="J229" s="15"/>
      <c r="K229" s="7"/>
    </row>
    <row r="230" customFormat="false" ht="42" hidden="false" customHeight="true" outlineLevel="0" collapsed="false">
      <c r="A230" s="27" t="s">
        <v>1007</v>
      </c>
      <c r="B230" s="17"/>
      <c r="C230" s="16"/>
      <c r="D230" s="16"/>
      <c r="E230" s="16"/>
      <c r="F230" s="5"/>
      <c r="G230" s="5"/>
      <c r="H230" s="5"/>
      <c r="I230" s="5"/>
      <c r="J230" s="15"/>
      <c r="K230" s="7"/>
    </row>
    <row r="231" customFormat="false" ht="42" hidden="false" customHeight="true" outlineLevel="0" collapsed="false">
      <c r="A231" s="27" t="s">
        <v>1008</v>
      </c>
      <c r="B231" s="17"/>
      <c r="C231" s="16"/>
      <c r="D231" s="16"/>
      <c r="E231" s="16"/>
      <c r="F231" s="5"/>
      <c r="G231" s="5"/>
      <c r="H231" s="5"/>
      <c r="I231" s="5"/>
      <c r="J231" s="15"/>
      <c r="K231" s="7"/>
    </row>
    <row r="232" customFormat="false" ht="42" hidden="false" customHeight="true" outlineLevel="0" collapsed="false">
      <c r="A232" s="27" t="s">
        <v>1009</v>
      </c>
      <c r="B232" s="17"/>
      <c r="C232" s="16"/>
      <c r="D232" s="16"/>
      <c r="E232" s="16"/>
      <c r="F232" s="5"/>
      <c r="G232" s="5"/>
      <c r="H232" s="5"/>
      <c r="I232" s="5"/>
      <c r="J232" s="15"/>
      <c r="K232" s="7"/>
    </row>
    <row r="233" customFormat="false" ht="42" hidden="false" customHeight="true" outlineLevel="0" collapsed="false">
      <c r="A233" s="27" t="s">
        <v>1010</v>
      </c>
      <c r="B233" s="17"/>
      <c r="C233" s="16"/>
      <c r="D233" s="16"/>
      <c r="E233" s="16"/>
      <c r="F233" s="5"/>
      <c r="G233" s="5"/>
      <c r="H233" s="5"/>
      <c r="I233" s="5"/>
      <c r="J233" s="15"/>
      <c r="K233" s="7"/>
    </row>
    <row r="234" customFormat="false" ht="42" hidden="false" customHeight="true" outlineLevel="0" collapsed="false">
      <c r="A234" s="27" t="s">
        <v>1011</v>
      </c>
      <c r="B234" s="17"/>
      <c r="C234" s="16"/>
      <c r="D234" s="16"/>
      <c r="E234" s="16"/>
      <c r="F234" s="5"/>
      <c r="G234" s="5"/>
      <c r="H234" s="5"/>
      <c r="I234" s="5"/>
      <c r="J234" s="15"/>
      <c r="K234" s="7"/>
    </row>
    <row r="235" customFormat="false" ht="42" hidden="false" customHeight="true" outlineLevel="0" collapsed="false">
      <c r="A235" s="27" t="s">
        <v>1012</v>
      </c>
      <c r="B235" s="17"/>
      <c r="C235" s="16"/>
      <c r="D235" s="16"/>
      <c r="E235" s="16"/>
      <c r="F235" s="5"/>
      <c r="G235" s="5"/>
      <c r="H235" s="5"/>
      <c r="I235" s="5"/>
      <c r="J235" s="15"/>
      <c r="K235" s="7"/>
    </row>
    <row r="236" customFormat="false" ht="42" hidden="false" customHeight="true" outlineLevel="0" collapsed="false">
      <c r="A236" s="27" t="s">
        <v>1013</v>
      </c>
      <c r="B236" s="17"/>
      <c r="C236" s="16"/>
      <c r="D236" s="16"/>
      <c r="E236" s="16"/>
      <c r="F236" s="5"/>
      <c r="G236" s="5"/>
      <c r="H236" s="5"/>
      <c r="I236" s="5"/>
      <c r="J236" s="15"/>
      <c r="K236" s="7"/>
    </row>
    <row r="237" customFormat="false" ht="42" hidden="false" customHeight="true" outlineLevel="0" collapsed="false">
      <c r="A237" s="27" t="s">
        <v>1014</v>
      </c>
      <c r="B237" s="17"/>
      <c r="C237" s="16"/>
      <c r="D237" s="16"/>
      <c r="E237" s="16"/>
      <c r="F237" s="5"/>
      <c r="G237" s="5"/>
      <c r="H237" s="5"/>
      <c r="I237" s="5"/>
      <c r="J237" s="15"/>
      <c r="K237" s="7"/>
    </row>
    <row r="238" customFormat="false" ht="42" hidden="false" customHeight="true" outlineLevel="0" collapsed="false">
      <c r="A238" s="27" t="s">
        <v>1015</v>
      </c>
      <c r="B238" s="17"/>
      <c r="C238" s="16"/>
      <c r="D238" s="16"/>
      <c r="E238" s="16"/>
      <c r="F238" s="5"/>
      <c r="G238" s="5"/>
      <c r="H238" s="5"/>
      <c r="I238" s="5"/>
      <c r="J238" s="15"/>
      <c r="K238" s="7"/>
    </row>
    <row r="239" customFormat="false" ht="42" hidden="false" customHeight="true" outlineLevel="0" collapsed="false">
      <c r="A239" s="27" t="s">
        <v>1016</v>
      </c>
      <c r="B239" s="17"/>
      <c r="C239" s="16"/>
      <c r="D239" s="16"/>
      <c r="E239" s="16"/>
      <c r="F239" s="5"/>
      <c r="G239" s="5"/>
      <c r="H239" s="5"/>
      <c r="I239" s="5"/>
      <c r="J239" s="15"/>
      <c r="K239" s="7"/>
    </row>
    <row r="240" customFormat="false" ht="42" hidden="false" customHeight="true" outlineLevel="0" collapsed="false">
      <c r="A240" s="27" t="s">
        <v>1017</v>
      </c>
      <c r="B240" s="17"/>
      <c r="C240" s="16"/>
      <c r="D240" s="16"/>
      <c r="E240" s="16"/>
      <c r="F240" s="5"/>
      <c r="G240" s="5"/>
      <c r="H240" s="5"/>
      <c r="I240" s="5"/>
      <c r="J240" s="15"/>
      <c r="K240" s="7"/>
    </row>
    <row r="241" customFormat="false" ht="42" hidden="false" customHeight="true" outlineLevel="0" collapsed="false">
      <c r="A241" s="27" t="s">
        <v>1018</v>
      </c>
      <c r="B241" s="17"/>
      <c r="C241" s="16"/>
      <c r="D241" s="16"/>
      <c r="E241" s="16"/>
      <c r="F241" s="5"/>
      <c r="G241" s="5"/>
      <c r="H241" s="5"/>
      <c r="I241" s="5"/>
      <c r="J241" s="15"/>
      <c r="K241" s="7"/>
    </row>
    <row r="242" customFormat="false" ht="42" hidden="false" customHeight="true" outlineLevel="0" collapsed="false">
      <c r="A242" s="27" t="s">
        <v>1019</v>
      </c>
      <c r="B242" s="17"/>
      <c r="C242" s="16"/>
      <c r="D242" s="16"/>
      <c r="E242" s="16"/>
      <c r="F242" s="5"/>
      <c r="G242" s="5"/>
      <c r="H242" s="5"/>
      <c r="I242" s="5"/>
      <c r="J242" s="15"/>
      <c r="K242" s="7"/>
    </row>
    <row r="243" customFormat="false" ht="42" hidden="false" customHeight="true" outlineLevel="0" collapsed="false">
      <c r="A243" s="27" t="s">
        <v>1020</v>
      </c>
      <c r="B243" s="17"/>
      <c r="C243" s="16"/>
      <c r="D243" s="16"/>
      <c r="E243" s="16"/>
      <c r="F243" s="5"/>
      <c r="G243" s="5"/>
      <c r="H243" s="5"/>
      <c r="I243" s="5"/>
      <c r="J243" s="15"/>
      <c r="K243" s="7"/>
    </row>
    <row r="244" customFormat="false" ht="42" hidden="false" customHeight="true" outlineLevel="0" collapsed="false">
      <c r="A244" s="27" t="s">
        <v>1021</v>
      </c>
      <c r="B244" s="17"/>
      <c r="C244" s="16"/>
      <c r="D244" s="16"/>
      <c r="E244" s="16"/>
      <c r="F244" s="5"/>
      <c r="G244" s="5"/>
      <c r="H244" s="5"/>
      <c r="I244" s="5"/>
      <c r="J244" s="15"/>
      <c r="K244" s="7"/>
    </row>
    <row r="245" customFormat="false" ht="42" hidden="false" customHeight="true" outlineLevel="0" collapsed="false">
      <c r="A245" s="27" t="s">
        <v>1022</v>
      </c>
      <c r="B245" s="17"/>
      <c r="C245" s="16"/>
      <c r="D245" s="16"/>
      <c r="E245" s="16"/>
      <c r="F245" s="5"/>
      <c r="G245" s="5"/>
      <c r="H245" s="5"/>
      <c r="I245" s="5"/>
      <c r="J245" s="15"/>
      <c r="K245" s="7"/>
    </row>
    <row r="246" customFormat="false" ht="42" hidden="false" customHeight="true" outlineLevel="0" collapsed="false">
      <c r="A246" s="27" t="s">
        <v>1023</v>
      </c>
      <c r="B246" s="17"/>
      <c r="C246" s="16"/>
      <c r="D246" s="16"/>
      <c r="E246" s="16"/>
      <c r="F246" s="5"/>
      <c r="G246" s="5"/>
      <c r="H246" s="5"/>
      <c r="I246" s="5"/>
      <c r="J246" s="15"/>
      <c r="K246" s="7"/>
    </row>
    <row r="247" customFormat="false" ht="42" hidden="false" customHeight="true" outlineLevel="0" collapsed="false">
      <c r="A247" s="27" t="s">
        <v>1024</v>
      </c>
      <c r="B247" s="17"/>
      <c r="C247" s="16"/>
      <c r="D247" s="16"/>
      <c r="E247" s="16"/>
      <c r="F247" s="5"/>
      <c r="G247" s="5"/>
      <c r="H247" s="5"/>
      <c r="I247" s="5"/>
      <c r="J247" s="15"/>
      <c r="K247" s="7"/>
    </row>
    <row r="248" customFormat="false" ht="42" hidden="false" customHeight="true" outlineLevel="0" collapsed="false">
      <c r="A248" s="27" t="s">
        <v>1025</v>
      </c>
      <c r="B248" s="17"/>
      <c r="C248" s="16"/>
      <c r="D248" s="16"/>
      <c r="E248" s="16"/>
      <c r="F248" s="5"/>
      <c r="G248" s="5"/>
      <c r="H248" s="5"/>
      <c r="I248" s="5"/>
      <c r="J248" s="15"/>
      <c r="K248" s="7"/>
    </row>
    <row r="249" customFormat="false" ht="42" hidden="false" customHeight="true" outlineLevel="0" collapsed="false">
      <c r="A249" s="27" t="s">
        <v>1026</v>
      </c>
      <c r="B249" s="17"/>
      <c r="C249" s="16"/>
      <c r="D249" s="16"/>
      <c r="E249" s="16"/>
      <c r="F249" s="5"/>
      <c r="G249" s="5"/>
      <c r="H249" s="5"/>
      <c r="I249" s="5"/>
      <c r="J249" s="15"/>
      <c r="K249" s="7"/>
    </row>
    <row r="250" customFormat="false" ht="42" hidden="false" customHeight="true" outlineLevel="0" collapsed="false">
      <c r="A250" s="27" t="s">
        <v>1027</v>
      </c>
      <c r="B250" s="17"/>
      <c r="C250" s="16"/>
      <c r="D250" s="16"/>
      <c r="E250" s="16"/>
      <c r="F250" s="5"/>
      <c r="G250" s="5"/>
      <c r="H250" s="5"/>
      <c r="I250" s="5"/>
      <c r="J250" s="15"/>
      <c r="K250" s="7"/>
    </row>
    <row r="251" customFormat="false" ht="42" hidden="false" customHeight="true" outlineLevel="0" collapsed="false">
      <c r="A251" s="27" t="s">
        <v>1028</v>
      </c>
      <c r="B251" s="17"/>
      <c r="C251" s="16"/>
      <c r="D251" s="16"/>
      <c r="E251" s="16"/>
      <c r="F251" s="5"/>
      <c r="G251" s="5"/>
      <c r="H251" s="5"/>
      <c r="I251" s="5"/>
      <c r="J251" s="15"/>
      <c r="K251" s="7"/>
    </row>
    <row r="252" customFormat="false" ht="42" hidden="false" customHeight="true" outlineLevel="0" collapsed="false">
      <c r="A252" s="27" t="s">
        <v>1029</v>
      </c>
      <c r="B252" s="17"/>
      <c r="C252" s="16"/>
      <c r="D252" s="16"/>
      <c r="E252" s="16"/>
      <c r="F252" s="5"/>
      <c r="G252" s="5"/>
      <c r="H252" s="5"/>
      <c r="I252" s="5"/>
      <c r="J252" s="15"/>
      <c r="K252" s="7"/>
    </row>
    <row r="253" customFormat="false" ht="42" hidden="false" customHeight="true" outlineLevel="0" collapsed="false">
      <c r="A253" s="27" t="s">
        <v>1030</v>
      </c>
      <c r="B253" s="17"/>
      <c r="C253" s="16"/>
      <c r="D253" s="16"/>
      <c r="E253" s="16"/>
      <c r="F253" s="5"/>
      <c r="G253" s="5"/>
      <c r="H253" s="5"/>
      <c r="I253" s="5"/>
      <c r="J253" s="15"/>
      <c r="K253" s="7"/>
    </row>
    <row r="254" customFormat="false" ht="42" hidden="false" customHeight="true" outlineLevel="0" collapsed="false">
      <c r="A254" s="27" t="s">
        <v>1031</v>
      </c>
      <c r="B254" s="17"/>
      <c r="C254" s="16"/>
      <c r="D254" s="16"/>
      <c r="E254" s="16"/>
      <c r="F254" s="5"/>
      <c r="G254" s="5"/>
      <c r="H254" s="5"/>
      <c r="I254" s="5"/>
      <c r="J254" s="15"/>
      <c r="K254" s="7"/>
    </row>
    <row r="255" customFormat="false" ht="42" hidden="false" customHeight="true" outlineLevel="0" collapsed="false">
      <c r="A255" s="27" t="s">
        <v>1032</v>
      </c>
      <c r="B255" s="17"/>
      <c r="C255" s="16"/>
      <c r="D255" s="16"/>
      <c r="E255" s="16"/>
      <c r="F255" s="5"/>
      <c r="G255" s="5"/>
      <c r="H255" s="5"/>
      <c r="I255" s="5"/>
      <c r="J255" s="15"/>
      <c r="K255" s="7"/>
    </row>
    <row r="256" customFormat="false" ht="42" hidden="false" customHeight="true" outlineLevel="0" collapsed="false">
      <c r="A256" s="27" t="s">
        <v>1033</v>
      </c>
      <c r="B256" s="17"/>
      <c r="C256" s="16"/>
      <c r="D256" s="16"/>
      <c r="E256" s="16"/>
      <c r="F256" s="5"/>
      <c r="G256" s="5"/>
      <c r="H256" s="5"/>
      <c r="I256" s="5"/>
      <c r="J256" s="15"/>
      <c r="K256" s="7"/>
    </row>
    <row r="257" customFormat="false" ht="42" hidden="false" customHeight="true" outlineLevel="0" collapsed="false">
      <c r="A257" s="27" t="s">
        <v>1034</v>
      </c>
      <c r="B257" s="17"/>
      <c r="C257" s="16"/>
      <c r="D257" s="16"/>
      <c r="E257" s="16"/>
      <c r="F257" s="5"/>
      <c r="G257" s="5"/>
      <c r="H257" s="5"/>
      <c r="I257" s="5"/>
      <c r="J257" s="15"/>
      <c r="K257" s="7"/>
    </row>
    <row r="258" customFormat="false" ht="42" hidden="false" customHeight="true" outlineLevel="0" collapsed="false">
      <c r="A258" s="27" t="s">
        <v>1035</v>
      </c>
      <c r="B258" s="17"/>
      <c r="C258" s="16"/>
      <c r="D258" s="16"/>
      <c r="E258" s="16"/>
      <c r="F258" s="5"/>
      <c r="G258" s="5"/>
      <c r="H258" s="5"/>
      <c r="I258" s="5"/>
      <c r="J258" s="15"/>
      <c r="K258" s="7"/>
    </row>
    <row r="259" customFormat="false" ht="42" hidden="false" customHeight="true" outlineLevel="0" collapsed="false">
      <c r="A259" s="27" t="s">
        <v>1036</v>
      </c>
      <c r="B259" s="17"/>
      <c r="C259" s="16"/>
      <c r="D259" s="16"/>
      <c r="E259" s="16"/>
      <c r="F259" s="5"/>
      <c r="G259" s="5"/>
      <c r="H259" s="5"/>
      <c r="I259" s="5"/>
      <c r="J259" s="15"/>
      <c r="K259" s="7"/>
    </row>
    <row r="260" customFormat="false" ht="42" hidden="false" customHeight="true" outlineLevel="0" collapsed="false">
      <c r="A260" s="27" t="s">
        <v>1037</v>
      </c>
      <c r="B260" s="17"/>
      <c r="C260" s="16"/>
      <c r="D260" s="16"/>
      <c r="E260" s="16"/>
      <c r="F260" s="5"/>
      <c r="G260" s="5"/>
      <c r="H260" s="5"/>
      <c r="I260" s="5"/>
      <c r="J260" s="15"/>
      <c r="K260" s="7"/>
    </row>
    <row r="261" customFormat="false" ht="42" hidden="false" customHeight="true" outlineLevel="0" collapsed="false">
      <c r="A261" s="27" t="s">
        <v>1038</v>
      </c>
      <c r="B261" s="17"/>
      <c r="C261" s="16"/>
      <c r="D261" s="16"/>
      <c r="E261" s="16"/>
      <c r="F261" s="5"/>
      <c r="G261" s="5"/>
      <c r="H261" s="5"/>
      <c r="I261" s="5"/>
      <c r="J261" s="15"/>
      <c r="K261" s="7"/>
    </row>
    <row r="262" customFormat="false" ht="42" hidden="false" customHeight="true" outlineLevel="0" collapsed="false">
      <c r="A262" s="27" t="s">
        <v>1039</v>
      </c>
      <c r="B262" s="17"/>
      <c r="C262" s="16"/>
      <c r="D262" s="16"/>
      <c r="E262" s="16"/>
      <c r="F262" s="5"/>
      <c r="G262" s="5"/>
      <c r="H262" s="5"/>
      <c r="I262" s="5"/>
      <c r="J262" s="15"/>
      <c r="K262" s="7"/>
    </row>
    <row r="263" customFormat="false" ht="42" hidden="false" customHeight="true" outlineLevel="0" collapsed="false">
      <c r="A263" s="27" t="s">
        <v>1040</v>
      </c>
      <c r="B263" s="17"/>
      <c r="C263" s="16"/>
      <c r="D263" s="16"/>
      <c r="E263" s="16"/>
      <c r="F263" s="5"/>
      <c r="G263" s="5"/>
      <c r="H263" s="5"/>
      <c r="I263" s="5"/>
      <c r="J263" s="15"/>
      <c r="K263" s="7"/>
    </row>
    <row r="264" customFormat="false" ht="42" hidden="false" customHeight="true" outlineLevel="0" collapsed="false">
      <c r="A264" s="27" t="s">
        <v>1041</v>
      </c>
      <c r="B264" s="17"/>
      <c r="C264" s="16"/>
      <c r="D264" s="16"/>
      <c r="E264" s="16"/>
      <c r="F264" s="5"/>
      <c r="G264" s="5"/>
      <c r="H264" s="5"/>
      <c r="I264" s="5"/>
      <c r="J264" s="15"/>
      <c r="K264" s="7"/>
    </row>
    <row r="265" customFormat="false" ht="42" hidden="false" customHeight="true" outlineLevel="0" collapsed="false">
      <c r="A265" s="27" t="s">
        <v>1042</v>
      </c>
      <c r="B265" s="17"/>
      <c r="C265" s="16"/>
      <c r="D265" s="16"/>
      <c r="E265" s="16"/>
      <c r="F265" s="5"/>
      <c r="G265" s="5"/>
      <c r="H265" s="5"/>
      <c r="I265" s="5"/>
      <c r="J265" s="15"/>
      <c r="K265" s="7"/>
    </row>
    <row r="266" customFormat="false" ht="42" hidden="false" customHeight="true" outlineLevel="0" collapsed="false">
      <c r="A266" s="27" t="s">
        <v>1043</v>
      </c>
      <c r="B266" s="17"/>
      <c r="C266" s="16"/>
      <c r="D266" s="16"/>
      <c r="E266" s="16"/>
      <c r="F266" s="5"/>
      <c r="G266" s="5"/>
      <c r="H266" s="5"/>
      <c r="I266" s="5"/>
      <c r="J266" s="15"/>
      <c r="K266" s="7"/>
    </row>
    <row r="267" customFormat="false" ht="42" hidden="false" customHeight="true" outlineLevel="0" collapsed="false">
      <c r="A267" s="27" t="s">
        <v>1044</v>
      </c>
      <c r="B267" s="17"/>
      <c r="C267" s="16"/>
      <c r="D267" s="16"/>
      <c r="E267" s="16"/>
      <c r="F267" s="5"/>
      <c r="G267" s="5"/>
      <c r="H267" s="5"/>
      <c r="I267" s="5"/>
      <c r="J267" s="15"/>
      <c r="K267" s="7"/>
    </row>
    <row r="268" customFormat="false" ht="42" hidden="false" customHeight="true" outlineLevel="0" collapsed="false">
      <c r="A268" s="27" t="s">
        <v>1045</v>
      </c>
      <c r="B268" s="17"/>
      <c r="C268" s="16"/>
      <c r="D268" s="16"/>
      <c r="E268" s="16"/>
      <c r="F268" s="5"/>
      <c r="G268" s="5"/>
      <c r="H268" s="5"/>
      <c r="I268" s="5"/>
      <c r="J268" s="15"/>
      <c r="K268" s="7"/>
    </row>
    <row r="269" customFormat="false" ht="42" hidden="false" customHeight="true" outlineLevel="0" collapsed="false">
      <c r="A269" s="27" t="s">
        <v>1046</v>
      </c>
      <c r="B269" s="17"/>
      <c r="C269" s="16"/>
      <c r="D269" s="16"/>
      <c r="E269" s="16"/>
      <c r="F269" s="5"/>
      <c r="G269" s="5"/>
      <c r="H269" s="5"/>
      <c r="I269" s="5"/>
      <c r="J269" s="15"/>
      <c r="K269" s="7"/>
    </row>
    <row r="270" customFormat="false" ht="42" hidden="false" customHeight="true" outlineLevel="0" collapsed="false">
      <c r="A270" s="27" t="s">
        <v>1047</v>
      </c>
      <c r="B270" s="17"/>
      <c r="C270" s="16"/>
      <c r="D270" s="16"/>
      <c r="E270" s="16"/>
      <c r="F270" s="5"/>
      <c r="G270" s="5"/>
      <c r="H270" s="5"/>
      <c r="I270" s="5"/>
      <c r="J270" s="15"/>
      <c r="K270" s="7"/>
    </row>
    <row r="271" customFormat="false" ht="42" hidden="false" customHeight="true" outlineLevel="0" collapsed="false">
      <c r="A271" s="27" t="s">
        <v>1048</v>
      </c>
      <c r="B271" s="17"/>
      <c r="C271" s="16"/>
      <c r="D271" s="16"/>
      <c r="E271" s="16"/>
      <c r="F271" s="5"/>
      <c r="G271" s="5"/>
      <c r="H271" s="5"/>
      <c r="I271" s="5"/>
      <c r="J271" s="15"/>
      <c r="K271" s="7"/>
    </row>
    <row r="272" customFormat="false" ht="42" hidden="false" customHeight="true" outlineLevel="0" collapsed="false">
      <c r="A272" s="27" t="s">
        <v>1049</v>
      </c>
      <c r="B272" s="17"/>
      <c r="C272" s="16"/>
      <c r="D272" s="16"/>
      <c r="E272" s="16"/>
      <c r="F272" s="5"/>
      <c r="G272" s="5"/>
      <c r="H272" s="5"/>
      <c r="I272" s="5"/>
      <c r="J272" s="15"/>
      <c r="K272" s="7"/>
    </row>
    <row r="273" customFormat="false" ht="42" hidden="false" customHeight="true" outlineLevel="0" collapsed="false">
      <c r="A273" s="27" t="s">
        <v>1050</v>
      </c>
      <c r="B273" s="17"/>
      <c r="C273" s="16"/>
      <c r="D273" s="16"/>
      <c r="E273" s="16"/>
      <c r="F273" s="5"/>
      <c r="G273" s="5"/>
      <c r="H273" s="5"/>
      <c r="I273" s="5"/>
      <c r="J273" s="15"/>
      <c r="K273" s="7"/>
    </row>
    <row r="274" customFormat="false" ht="42" hidden="false" customHeight="true" outlineLevel="0" collapsed="false">
      <c r="A274" s="27" t="s">
        <v>1051</v>
      </c>
      <c r="B274" s="17"/>
      <c r="C274" s="16"/>
      <c r="D274" s="16"/>
      <c r="E274" s="16"/>
      <c r="F274" s="5"/>
      <c r="G274" s="5"/>
      <c r="H274" s="5"/>
      <c r="I274" s="5"/>
      <c r="J274" s="15"/>
      <c r="K274" s="7"/>
    </row>
    <row r="275" customFormat="false" ht="42" hidden="false" customHeight="true" outlineLevel="0" collapsed="false">
      <c r="A275" s="27" t="s">
        <v>1052</v>
      </c>
      <c r="B275" s="17"/>
      <c r="C275" s="16"/>
      <c r="D275" s="16"/>
      <c r="E275" s="16"/>
      <c r="F275" s="5"/>
      <c r="G275" s="5"/>
      <c r="H275" s="5"/>
      <c r="I275" s="5"/>
      <c r="J275" s="15"/>
      <c r="K275" s="7"/>
    </row>
    <row r="276" customFormat="false" ht="42" hidden="false" customHeight="true" outlineLevel="0" collapsed="false">
      <c r="A276" s="27" t="s">
        <v>1053</v>
      </c>
      <c r="B276" s="17"/>
      <c r="C276" s="16"/>
      <c r="D276" s="16"/>
      <c r="E276" s="16"/>
      <c r="F276" s="5"/>
      <c r="G276" s="5"/>
      <c r="H276" s="5"/>
      <c r="I276" s="5"/>
      <c r="J276" s="15"/>
      <c r="K276" s="7"/>
    </row>
    <row r="277" customFormat="false" ht="42" hidden="false" customHeight="true" outlineLevel="0" collapsed="false">
      <c r="A277" s="27" t="s">
        <v>1054</v>
      </c>
      <c r="B277" s="17"/>
      <c r="C277" s="16"/>
      <c r="D277" s="16"/>
      <c r="E277" s="16"/>
      <c r="F277" s="5"/>
      <c r="G277" s="5"/>
      <c r="H277" s="5"/>
      <c r="I277" s="5"/>
      <c r="J277" s="15"/>
      <c r="K277" s="7"/>
    </row>
    <row r="278" customFormat="false" ht="42" hidden="false" customHeight="true" outlineLevel="0" collapsed="false">
      <c r="A278" s="27" t="s">
        <v>1055</v>
      </c>
      <c r="B278" s="17"/>
      <c r="C278" s="16"/>
      <c r="D278" s="16"/>
      <c r="E278" s="16"/>
      <c r="F278" s="5"/>
      <c r="G278" s="5"/>
      <c r="H278" s="5"/>
      <c r="I278" s="5"/>
      <c r="J278" s="15"/>
      <c r="K278" s="7"/>
    </row>
    <row r="279" customFormat="false" ht="42" hidden="false" customHeight="true" outlineLevel="0" collapsed="false">
      <c r="A279" s="27" t="s">
        <v>1056</v>
      </c>
      <c r="B279" s="17"/>
      <c r="C279" s="16"/>
      <c r="D279" s="16"/>
      <c r="E279" s="16"/>
      <c r="F279" s="5"/>
      <c r="G279" s="5"/>
      <c r="H279" s="5"/>
      <c r="I279" s="5"/>
      <c r="J279" s="15"/>
      <c r="K279" s="7"/>
    </row>
    <row r="280" customFormat="false" ht="42" hidden="false" customHeight="true" outlineLevel="0" collapsed="false">
      <c r="A280" s="27" t="s">
        <v>1057</v>
      </c>
      <c r="B280" s="17"/>
      <c r="C280" s="16"/>
      <c r="D280" s="16"/>
      <c r="E280" s="16"/>
      <c r="F280" s="5"/>
      <c r="G280" s="5"/>
      <c r="H280" s="5"/>
      <c r="I280" s="5"/>
      <c r="J280" s="15"/>
      <c r="K280" s="7"/>
    </row>
    <row r="281" customFormat="false" ht="42" hidden="false" customHeight="true" outlineLevel="0" collapsed="false">
      <c r="A281" s="27" t="s">
        <v>1058</v>
      </c>
      <c r="B281" s="17"/>
      <c r="C281" s="16"/>
      <c r="D281" s="16"/>
      <c r="E281" s="16"/>
      <c r="F281" s="5"/>
      <c r="G281" s="5"/>
      <c r="H281" s="5"/>
      <c r="I281" s="5"/>
      <c r="J281" s="15"/>
      <c r="K281" s="7"/>
    </row>
    <row r="282" customFormat="false" ht="42" hidden="false" customHeight="true" outlineLevel="0" collapsed="false">
      <c r="A282" s="27" t="s">
        <v>1059</v>
      </c>
      <c r="B282" s="17"/>
      <c r="C282" s="16"/>
      <c r="D282" s="16"/>
      <c r="E282" s="16"/>
      <c r="F282" s="5"/>
      <c r="G282" s="5"/>
      <c r="H282" s="5"/>
      <c r="I282" s="5"/>
      <c r="J282" s="15"/>
      <c r="K282" s="7"/>
    </row>
    <row r="283" customFormat="false" ht="42" hidden="false" customHeight="true" outlineLevel="0" collapsed="false">
      <c r="A283" s="27" t="s">
        <v>1060</v>
      </c>
      <c r="B283" s="17"/>
      <c r="C283" s="16"/>
      <c r="D283" s="16"/>
      <c r="E283" s="16"/>
      <c r="F283" s="5"/>
      <c r="G283" s="5"/>
      <c r="H283" s="5"/>
      <c r="I283" s="5"/>
      <c r="J283" s="15"/>
      <c r="K283" s="7"/>
    </row>
    <row r="284" customFormat="false" ht="42" hidden="false" customHeight="true" outlineLevel="0" collapsed="false">
      <c r="A284" s="27" t="s">
        <v>1061</v>
      </c>
      <c r="B284" s="17"/>
      <c r="C284" s="16"/>
      <c r="D284" s="16"/>
      <c r="E284" s="16"/>
      <c r="F284" s="5"/>
      <c r="G284" s="5"/>
      <c r="H284" s="5"/>
      <c r="I284" s="5"/>
      <c r="J284" s="15"/>
      <c r="K284" s="7"/>
    </row>
    <row r="285" customFormat="false" ht="42" hidden="false" customHeight="true" outlineLevel="0" collapsed="false">
      <c r="A285" s="27" t="s">
        <v>1062</v>
      </c>
      <c r="B285" s="17"/>
      <c r="C285" s="16"/>
      <c r="D285" s="16"/>
      <c r="E285" s="16"/>
      <c r="F285" s="5"/>
      <c r="G285" s="5"/>
      <c r="H285" s="5"/>
      <c r="I285" s="5"/>
      <c r="J285" s="15"/>
      <c r="K285" s="7"/>
    </row>
    <row r="286" customFormat="false" ht="42" hidden="false" customHeight="true" outlineLevel="0" collapsed="false">
      <c r="A286" s="27" t="s">
        <v>1063</v>
      </c>
      <c r="B286" s="17"/>
      <c r="C286" s="16"/>
      <c r="D286" s="16"/>
      <c r="E286" s="16"/>
      <c r="F286" s="5"/>
      <c r="G286" s="5"/>
      <c r="H286" s="5"/>
      <c r="I286" s="5"/>
      <c r="J286" s="15"/>
      <c r="K286" s="7"/>
    </row>
    <row r="287" customFormat="false" ht="42" hidden="false" customHeight="true" outlineLevel="0" collapsed="false">
      <c r="A287" s="27" t="s">
        <v>1064</v>
      </c>
      <c r="B287" s="17"/>
      <c r="C287" s="16"/>
      <c r="D287" s="16"/>
      <c r="E287" s="16"/>
      <c r="F287" s="5"/>
      <c r="G287" s="5"/>
      <c r="H287" s="5"/>
      <c r="I287" s="5"/>
      <c r="J287" s="15"/>
      <c r="K287" s="7"/>
    </row>
    <row r="288" customFormat="false" ht="42" hidden="false" customHeight="true" outlineLevel="0" collapsed="false">
      <c r="A288" s="27" t="s">
        <v>1065</v>
      </c>
      <c r="B288" s="17"/>
      <c r="C288" s="16"/>
      <c r="D288" s="16"/>
      <c r="E288" s="16"/>
      <c r="F288" s="5"/>
      <c r="G288" s="5"/>
      <c r="H288" s="5"/>
      <c r="I288" s="5"/>
      <c r="J288" s="15"/>
      <c r="K288" s="7"/>
    </row>
    <row r="289" customFormat="false" ht="42" hidden="false" customHeight="true" outlineLevel="0" collapsed="false">
      <c r="A289" s="27" t="s">
        <v>1066</v>
      </c>
      <c r="B289" s="17"/>
      <c r="C289" s="16"/>
      <c r="D289" s="16"/>
      <c r="E289" s="16"/>
      <c r="F289" s="5"/>
      <c r="G289" s="5"/>
      <c r="H289" s="5"/>
      <c r="I289" s="5"/>
      <c r="J289" s="15"/>
      <c r="K289" s="7"/>
    </row>
    <row r="290" customFormat="false" ht="42" hidden="false" customHeight="true" outlineLevel="0" collapsed="false">
      <c r="A290" s="27" t="s">
        <v>1067</v>
      </c>
      <c r="B290" s="17"/>
      <c r="C290" s="16"/>
      <c r="D290" s="16"/>
      <c r="E290" s="16"/>
      <c r="F290" s="5"/>
      <c r="G290" s="5"/>
      <c r="H290" s="5"/>
      <c r="I290" s="5"/>
      <c r="J290" s="15"/>
      <c r="K290" s="7"/>
    </row>
    <row r="291" customFormat="false" ht="42" hidden="false" customHeight="true" outlineLevel="0" collapsed="false">
      <c r="A291" s="27" t="s">
        <v>1068</v>
      </c>
      <c r="B291" s="17"/>
      <c r="C291" s="16"/>
      <c r="D291" s="16"/>
      <c r="E291" s="16"/>
      <c r="F291" s="5"/>
      <c r="G291" s="5"/>
      <c r="H291" s="5"/>
      <c r="I291" s="5"/>
      <c r="J291" s="15"/>
      <c r="K291" s="7"/>
    </row>
    <row r="292" customFormat="false" ht="42" hidden="false" customHeight="true" outlineLevel="0" collapsed="false">
      <c r="A292" s="27" t="s">
        <v>1069</v>
      </c>
      <c r="B292" s="17"/>
      <c r="C292" s="16"/>
      <c r="D292" s="16"/>
      <c r="E292" s="16"/>
      <c r="F292" s="5"/>
      <c r="G292" s="5"/>
      <c r="H292" s="5"/>
      <c r="I292" s="5"/>
      <c r="J292" s="15"/>
      <c r="K292" s="7"/>
    </row>
    <row r="293" customFormat="false" ht="42" hidden="false" customHeight="true" outlineLevel="0" collapsed="false">
      <c r="A293" s="27" t="s">
        <v>1070</v>
      </c>
      <c r="B293" s="17"/>
      <c r="C293" s="16"/>
      <c r="D293" s="16"/>
      <c r="E293" s="16"/>
      <c r="F293" s="5"/>
      <c r="G293" s="5"/>
      <c r="H293" s="5"/>
      <c r="I293" s="5"/>
      <c r="J293" s="15"/>
      <c r="K293" s="7"/>
    </row>
    <row r="294" customFormat="false" ht="42" hidden="false" customHeight="true" outlineLevel="0" collapsed="false">
      <c r="A294" s="27" t="s">
        <v>1071</v>
      </c>
      <c r="B294" s="17"/>
      <c r="C294" s="16"/>
      <c r="D294" s="16"/>
      <c r="E294" s="16"/>
      <c r="F294" s="5"/>
      <c r="G294" s="5"/>
      <c r="H294" s="5"/>
      <c r="I294" s="5"/>
      <c r="J294" s="15"/>
      <c r="K294" s="7"/>
    </row>
    <row r="295" customFormat="false" ht="42" hidden="false" customHeight="true" outlineLevel="0" collapsed="false">
      <c r="A295" s="27" t="s">
        <v>1072</v>
      </c>
      <c r="B295" s="17"/>
      <c r="C295" s="16"/>
      <c r="D295" s="16"/>
      <c r="E295" s="16"/>
      <c r="F295" s="5"/>
      <c r="G295" s="5"/>
      <c r="H295" s="5"/>
      <c r="I295" s="5"/>
      <c r="J295" s="15"/>
      <c r="K295" s="7"/>
    </row>
    <row r="296" customFormat="false" ht="42" hidden="false" customHeight="true" outlineLevel="0" collapsed="false">
      <c r="A296" s="27" t="s">
        <v>1073</v>
      </c>
      <c r="B296" s="17"/>
      <c r="C296" s="16"/>
      <c r="D296" s="16"/>
      <c r="E296" s="16"/>
      <c r="F296" s="5"/>
      <c r="G296" s="5"/>
      <c r="H296" s="5"/>
      <c r="I296" s="5"/>
      <c r="J296" s="15"/>
      <c r="K296" s="7"/>
    </row>
    <row r="297" customFormat="false" ht="42" hidden="false" customHeight="true" outlineLevel="0" collapsed="false">
      <c r="A297" s="27" t="s">
        <v>1074</v>
      </c>
      <c r="B297" s="17"/>
      <c r="C297" s="16"/>
      <c r="D297" s="16"/>
      <c r="E297" s="16"/>
      <c r="F297" s="5"/>
      <c r="G297" s="5"/>
      <c r="H297" s="5"/>
      <c r="I297" s="5"/>
      <c r="J297" s="15"/>
      <c r="K297" s="7"/>
    </row>
    <row r="298" customFormat="false" ht="42" hidden="false" customHeight="true" outlineLevel="0" collapsed="false">
      <c r="A298" s="27" t="s">
        <v>1075</v>
      </c>
      <c r="B298" s="17"/>
      <c r="C298" s="16"/>
      <c r="D298" s="16"/>
      <c r="E298" s="16"/>
      <c r="F298" s="5"/>
      <c r="G298" s="5"/>
      <c r="H298" s="5"/>
      <c r="I298" s="5"/>
      <c r="J298" s="15"/>
      <c r="K298" s="7"/>
    </row>
    <row r="299" customFormat="false" ht="42" hidden="false" customHeight="true" outlineLevel="0" collapsed="false">
      <c r="A299" s="27" t="s">
        <v>1076</v>
      </c>
      <c r="B299" s="17"/>
      <c r="C299" s="16"/>
      <c r="D299" s="16"/>
      <c r="E299" s="16"/>
      <c r="F299" s="5"/>
      <c r="G299" s="5"/>
      <c r="H299" s="5"/>
      <c r="I299" s="5"/>
      <c r="J299" s="15"/>
      <c r="K299" s="7"/>
    </row>
    <row r="300" customFormat="false" ht="42" hidden="false" customHeight="true" outlineLevel="0" collapsed="false">
      <c r="A300" s="27" t="s">
        <v>1077</v>
      </c>
      <c r="B300" s="17"/>
      <c r="C300" s="16"/>
      <c r="D300" s="16"/>
      <c r="E300" s="16"/>
      <c r="F300" s="5"/>
      <c r="G300" s="5"/>
      <c r="H300" s="5"/>
      <c r="I300" s="5"/>
      <c r="J300" s="15"/>
      <c r="K300" s="7"/>
    </row>
    <row r="301" customFormat="false" ht="42" hidden="false" customHeight="true" outlineLevel="0" collapsed="false">
      <c r="A301" s="27" t="s">
        <v>1078</v>
      </c>
      <c r="B301" s="17"/>
      <c r="C301" s="16"/>
      <c r="D301" s="16"/>
      <c r="E301" s="16"/>
      <c r="F301" s="5"/>
      <c r="G301" s="5"/>
      <c r="H301" s="5"/>
      <c r="I301" s="5"/>
      <c r="J301" s="15"/>
      <c r="K301" s="7"/>
    </row>
  </sheetData>
  <conditionalFormatting sqref="E2:E301">
    <cfRule type="expression" priority="2" aboveAverage="0" equalAverage="0" bottom="0" percent="0" rank="0" text="" dxfId="1">
      <formula>E2="عاجل"</formula>
    </cfRule>
    <cfRule type="expression" priority="3" aboveAverage="0" equalAverage="0" bottom="0" percent="0" rank="0" text="" dxfId="2">
      <formula>E2="مهم"</formula>
    </cfRule>
    <cfRule type="expression" priority="4" aboveAverage="0" equalAverage="0" bottom="0" percent="0" rank="0" text="" dxfId="3">
      <formula>E2="بسيط"</formula>
    </cfRule>
    <cfRule type="expression" priority="5" aboveAverage="0" equalAverage="0" bottom="0" percent="0" rank="0" text="" dxfId="12">
      <formula>E2="اقتراح"</formula>
    </cfRule>
  </conditionalFormatting>
  <conditionalFormatting sqref="J2:J301">
    <cfRule type="expression" priority="6" aboveAverage="0" equalAverage="0" bottom="0" percent="0" rank="0" text="" dxfId="13">
      <formula>J2="تم الإصلاح"</formula>
    </cfRule>
    <cfRule type="expression" priority="7" aboveAverage="0" equalAverage="0" bottom="0" percent="0" rank="0" text="" dxfId="14">
      <formula>J2="قيد الإصلاح"</formula>
    </cfRule>
    <cfRule type="expression" priority="8" aboveAverage="0" equalAverage="0" bottom="0" percent="0" rank="0" text="" dxfId="15">
      <formula>J2="يحتاج توضيح"</formula>
    </cfRule>
    <cfRule type="expression" priority="9" aboveAverage="0" equalAverage="0" bottom="0" percent="0" rank="0" text="" dxfId="16">
      <formula>J2="لن يُصلح"</formula>
    </cfRule>
  </conditionalFormatting>
  <dataValidations count="4">
    <dataValidation allowBlank="true" error="اختر قيمة من القائمة" errorStyle="stop" errorTitle="قيمة غير صالحة" operator="between" prompt="اختر اسمك" showDropDown="false" showErrorMessage="false" showInputMessage="true" sqref="C2:C301" type="list">
      <formula1>المختبرون!$A$2:$A$41</formula1>
      <formula2>0</formula2>
    </dataValidation>
    <dataValidation allowBlank="true" error="اختر قيمة من القائمة" errorStyle="stop" errorTitle="قيمة غير صالحة" operator="between" prompt="اختر رقم الاختبار (أو اتركه فارغاً لملاحظة عامة)" showDropDown="false" showErrorMessage="false" showInputMessage="true" sqref="D2:D301" type="list">
      <formula1>الاختبارات!$A$2:$A$140</formula1>
      <formula2>0</formula2>
    </dataValidation>
    <dataValidation allowBlank="true" error="اختر قيمة من القائمة" errorStyle="stop" errorTitle="قيمة غير صالحة" operator="between" prompt="اختر درجة الخطورة" showDropDown="false" showErrorMessage="false" showInputMessage="true" sqref="E2:E301" type="list">
      <formula1>"عاجل,مهم,بسيط,اقتراح"</formula1>
      <formula2>0</formula2>
    </dataValidation>
    <dataValidation allowBlank="true" error="اختر قيمة من القائمة" errorStyle="stop" errorTitle="قيمة غير صالحة" operator="between" showDropDown="false" showErrorMessage="false" showInputMessage="false" sqref="J2:J301" type="list">
      <formula1>"جديد,قيد الإصلاح,تم الإصلاح,يحتاج توضيح,لن يُصلح"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13" t="s">
        <v>1079</v>
      </c>
      <c r="B1" s="13" t="s">
        <v>1080</v>
      </c>
      <c r="C1" s="13" t="s">
        <v>1081</v>
      </c>
      <c r="D1" s="13" t="s">
        <v>1082</v>
      </c>
      <c r="E1" s="13" t="s">
        <v>1083</v>
      </c>
      <c r="F1" s="13" t="s">
        <v>26</v>
      </c>
      <c r="G1" s="13" t="s">
        <v>28</v>
      </c>
      <c r="H1" s="13" t="s">
        <v>74</v>
      </c>
      <c r="I1" s="13" t="s">
        <v>1084</v>
      </c>
    </row>
    <row r="2" customFormat="false" ht="15" hidden="false" customHeight="false" outlineLevel="0" collapsed="false">
      <c r="A2" s="5"/>
      <c r="B2" s="5"/>
      <c r="C2" s="5"/>
      <c r="D2" s="18" t="str">
        <f aca="false">IF(A2="","",COUNTIF(الأقسام!$H$2:$H$100,A2))</f>
        <v/>
      </c>
      <c r="E2" s="18" t="str">
        <f aca="false">IF(A2="","",COUNTIF(الاختبارات!$I$2:$I$1000,A2))</f>
        <v/>
      </c>
      <c r="F2" s="18" t="str">
        <f aca="false">IF(A2="","",COUNTIFS(الاختبارات!$I$2:$I$1000,A2,الاختبارات!$J$2:$J$1000,"نجح"))</f>
        <v/>
      </c>
      <c r="G2" s="18" t="str">
        <f aca="false">IF(A2="","",COUNTIFS(الاختبارات!$I$2:$I$1000,A2,الاختبارات!$J$2:$J$1000,"فشل"))</f>
        <v/>
      </c>
      <c r="H2" s="19" t="str">
        <f aca="false">IF(OR(A2="",E2=0),"",(F2+G2)/E2)</f>
        <v/>
      </c>
      <c r="I2" s="18" t="str">
        <f aca="false">IF(A2="","",COUNTIF('الأخطاء والملاحظات'!$C$2:$C$301,A2))</f>
        <v/>
      </c>
    </row>
    <row r="3" customFormat="false" ht="15" hidden="false" customHeight="false" outlineLevel="0" collapsed="false">
      <c r="A3" s="5"/>
      <c r="B3" s="5"/>
      <c r="C3" s="5"/>
      <c r="D3" s="18" t="str">
        <f aca="false">IF(A3="","",COUNTIF(الأقسام!$H$2:$H$100,A3))</f>
        <v/>
      </c>
      <c r="E3" s="18" t="str">
        <f aca="false">IF(A3="","",COUNTIF(الاختبارات!$I$2:$I$1000,A3))</f>
        <v/>
      </c>
      <c r="F3" s="18" t="str">
        <f aca="false">IF(A3="","",COUNTIFS(الاختبارات!$I$2:$I$1000,A3,الاختبارات!$J$2:$J$1000,"نجح"))</f>
        <v/>
      </c>
      <c r="G3" s="18" t="str">
        <f aca="false">IF(A3="","",COUNTIFS(الاختبارات!$I$2:$I$1000,A3,الاختبارات!$J$2:$J$1000,"فشل"))</f>
        <v/>
      </c>
      <c r="H3" s="19" t="str">
        <f aca="false">IF(OR(A3="",E3=0),"",(F3+G3)/E3)</f>
        <v/>
      </c>
      <c r="I3" s="18" t="str">
        <f aca="false">IF(A3="","",COUNTIF('الأخطاء والملاحظات'!$C$2:$C$301,A3))</f>
        <v/>
      </c>
    </row>
    <row r="4" customFormat="false" ht="15" hidden="false" customHeight="false" outlineLevel="0" collapsed="false">
      <c r="A4" s="5"/>
      <c r="B4" s="5"/>
      <c r="C4" s="5"/>
      <c r="D4" s="18" t="str">
        <f aca="false">IF(A4="","",COUNTIF(الأقسام!$H$2:$H$100,A4))</f>
        <v/>
      </c>
      <c r="E4" s="18" t="str">
        <f aca="false">IF(A4="","",COUNTIF(الاختبارات!$I$2:$I$1000,A4))</f>
        <v/>
      </c>
      <c r="F4" s="18" t="str">
        <f aca="false">IF(A4="","",COUNTIFS(الاختبارات!$I$2:$I$1000,A4,الاختبارات!$J$2:$J$1000,"نجح"))</f>
        <v/>
      </c>
      <c r="G4" s="18" t="str">
        <f aca="false">IF(A4="","",COUNTIFS(الاختبارات!$I$2:$I$1000,A4,الاختبارات!$J$2:$J$1000,"فشل"))</f>
        <v/>
      </c>
      <c r="H4" s="19" t="str">
        <f aca="false">IF(OR(A4="",E4=0),"",(F4+G4)/E4)</f>
        <v/>
      </c>
      <c r="I4" s="18" t="str">
        <f aca="false">IF(A4="","",COUNTIF('الأخطاء والملاحظات'!$C$2:$C$301,A4))</f>
        <v/>
      </c>
    </row>
    <row r="5" customFormat="false" ht="15" hidden="false" customHeight="false" outlineLevel="0" collapsed="false">
      <c r="A5" s="5"/>
      <c r="B5" s="5"/>
      <c r="C5" s="5"/>
      <c r="D5" s="18" t="str">
        <f aca="false">IF(A5="","",COUNTIF(الأقسام!$H$2:$H$100,A5))</f>
        <v/>
      </c>
      <c r="E5" s="18" t="str">
        <f aca="false">IF(A5="","",COUNTIF(الاختبارات!$I$2:$I$1000,A5))</f>
        <v/>
      </c>
      <c r="F5" s="18" t="str">
        <f aca="false">IF(A5="","",COUNTIFS(الاختبارات!$I$2:$I$1000,A5,الاختبارات!$J$2:$J$1000,"نجح"))</f>
        <v/>
      </c>
      <c r="G5" s="18" t="str">
        <f aca="false">IF(A5="","",COUNTIFS(الاختبارات!$I$2:$I$1000,A5,الاختبارات!$J$2:$J$1000,"فشل"))</f>
        <v/>
      </c>
      <c r="H5" s="19" t="str">
        <f aca="false">IF(OR(A5="",E5=0),"",(F5+G5)/E5)</f>
        <v/>
      </c>
      <c r="I5" s="18" t="str">
        <f aca="false">IF(A5="","",COUNTIF('الأخطاء والملاحظات'!$C$2:$C$301,A5))</f>
        <v/>
      </c>
    </row>
    <row r="6" customFormat="false" ht="15" hidden="false" customHeight="false" outlineLevel="0" collapsed="false">
      <c r="A6" s="5"/>
      <c r="B6" s="5"/>
      <c r="C6" s="5"/>
      <c r="D6" s="18" t="str">
        <f aca="false">IF(A6="","",COUNTIF(الأقسام!$H$2:$H$100,A6))</f>
        <v/>
      </c>
      <c r="E6" s="18" t="str">
        <f aca="false">IF(A6="","",COUNTIF(الاختبارات!$I$2:$I$1000,A6))</f>
        <v/>
      </c>
      <c r="F6" s="18" t="str">
        <f aca="false">IF(A6="","",COUNTIFS(الاختبارات!$I$2:$I$1000,A6,الاختبارات!$J$2:$J$1000,"نجح"))</f>
        <v/>
      </c>
      <c r="G6" s="18" t="str">
        <f aca="false">IF(A6="","",COUNTIFS(الاختبارات!$I$2:$I$1000,A6,الاختبارات!$J$2:$J$1000,"فشل"))</f>
        <v/>
      </c>
      <c r="H6" s="19" t="str">
        <f aca="false">IF(OR(A6="",E6=0),"",(F6+G6)/E6)</f>
        <v/>
      </c>
      <c r="I6" s="18" t="str">
        <f aca="false">IF(A6="","",COUNTIF('الأخطاء والملاحظات'!$C$2:$C$301,A6))</f>
        <v/>
      </c>
    </row>
    <row r="7" customFormat="false" ht="15" hidden="false" customHeight="false" outlineLevel="0" collapsed="false">
      <c r="A7" s="5"/>
      <c r="B7" s="5"/>
      <c r="C7" s="5"/>
      <c r="D7" s="18" t="str">
        <f aca="false">IF(A7="","",COUNTIF(الأقسام!$H$2:$H$100,A7))</f>
        <v/>
      </c>
      <c r="E7" s="18" t="str">
        <f aca="false">IF(A7="","",COUNTIF(الاختبارات!$I$2:$I$1000,A7))</f>
        <v/>
      </c>
      <c r="F7" s="18" t="str">
        <f aca="false">IF(A7="","",COUNTIFS(الاختبارات!$I$2:$I$1000,A7,الاختبارات!$J$2:$J$1000,"نجح"))</f>
        <v/>
      </c>
      <c r="G7" s="18" t="str">
        <f aca="false">IF(A7="","",COUNTIFS(الاختبارات!$I$2:$I$1000,A7,الاختبارات!$J$2:$J$1000,"فشل"))</f>
        <v/>
      </c>
      <c r="H7" s="19" t="str">
        <f aca="false">IF(OR(A7="",E7=0),"",(F7+G7)/E7)</f>
        <v/>
      </c>
      <c r="I7" s="18" t="str">
        <f aca="false">IF(A7="","",COUNTIF('الأخطاء والملاحظات'!$C$2:$C$301,A7))</f>
        <v/>
      </c>
    </row>
    <row r="8" customFormat="false" ht="15" hidden="false" customHeight="false" outlineLevel="0" collapsed="false">
      <c r="A8" s="5"/>
      <c r="B8" s="5"/>
      <c r="C8" s="5"/>
      <c r="D8" s="18" t="str">
        <f aca="false">IF(A8="","",COUNTIF(الأقسام!$H$2:$H$100,A8))</f>
        <v/>
      </c>
      <c r="E8" s="18" t="str">
        <f aca="false">IF(A8="","",COUNTIF(الاختبارات!$I$2:$I$1000,A8))</f>
        <v/>
      </c>
      <c r="F8" s="18" t="str">
        <f aca="false">IF(A8="","",COUNTIFS(الاختبارات!$I$2:$I$1000,A8,الاختبارات!$J$2:$J$1000,"نجح"))</f>
        <v/>
      </c>
      <c r="G8" s="18" t="str">
        <f aca="false">IF(A8="","",COUNTIFS(الاختبارات!$I$2:$I$1000,A8,الاختبارات!$J$2:$J$1000,"فشل"))</f>
        <v/>
      </c>
      <c r="H8" s="19" t="str">
        <f aca="false">IF(OR(A8="",E8=0),"",(F8+G8)/E8)</f>
        <v/>
      </c>
      <c r="I8" s="18" t="str">
        <f aca="false">IF(A8="","",COUNTIF('الأخطاء والملاحظات'!$C$2:$C$301,A8))</f>
        <v/>
      </c>
    </row>
    <row r="9" customFormat="false" ht="15" hidden="false" customHeight="false" outlineLevel="0" collapsed="false">
      <c r="A9" s="5"/>
      <c r="B9" s="5"/>
      <c r="C9" s="5"/>
      <c r="D9" s="18" t="str">
        <f aca="false">IF(A9="","",COUNTIF(الأقسام!$H$2:$H$100,A9))</f>
        <v/>
      </c>
      <c r="E9" s="18" t="str">
        <f aca="false">IF(A9="","",COUNTIF(الاختبارات!$I$2:$I$1000,A9))</f>
        <v/>
      </c>
      <c r="F9" s="18" t="str">
        <f aca="false">IF(A9="","",COUNTIFS(الاختبارات!$I$2:$I$1000,A9,الاختبارات!$J$2:$J$1000,"نجح"))</f>
        <v/>
      </c>
      <c r="G9" s="18" t="str">
        <f aca="false">IF(A9="","",COUNTIFS(الاختبارات!$I$2:$I$1000,A9,الاختبارات!$J$2:$J$1000,"فشل"))</f>
        <v/>
      </c>
      <c r="H9" s="19" t="str">
        <f aca="false">IF(OR(A9="",E9=0),"",(F9+G9)/E9)</f>
        <v/>
      </c>
      <c r="I9" s="18" t="str">
        <f aca="false">IF(A9="","",COUNTIF('الأخطاء والملاحظات'!$C$2:$C$301,A9))</f>
        <v/>
      </c>
    </row>
    <row r="10" customFormat="false" ht="15" hidden="false" customHeight="false" outlineLevel="0" collapsed="false">
      <c r="A10" s="5"/>
      <c r="B10" s="5"/>
      <c r="C10" s="5"/>
      <c r="D10" s="18" t="str">
        <f aca="false">IF(A10="","",COUNTIF(الأقسام!$H$2:$H$100,A10))</f>
        <v/>
      </c>
      <c r="E10" s="18" t="str">
        <f aca="false">IF(A10="","",COUNTIF(الاختبارات!$I$2:$I$1000,A10))</f>
        <v/>
      </c>
      <c r="F10" s="18" t="str">
        <f aca="false">IF(A10="","",COUNTIFS(الاختبارات!$I$2:$I$1000,A10,الاختبارات!$J$2:$J$1000,"نجح"))</f>
        <v/>
      </c>
      <c r="G10" s="18" t="str">
        <f aca="false">IF(A10="","",COUNTIFS(الاختبارات!$I$2:$I$1000,A10,الاختبارات!$J$2:$J$1000,"فشل"))</f>
        <v/>
      </c>
      <c r="H10" s="19" t="str">
        <f aca="false">IF(OR(A10="",E10=0),"",(F10+G10)/E10)</f>
        <v/>
      </c>
      <c r="I10" s="18" t="str">
        <f aca="false">IF(A10="","",COUNTIF('الأخطاء والملاحظات'!$C$2:$C$301,A10))</f>
        <v/>
      </c>
    </row>
    <row r="11" customFormat="false" ht="15" hidden="false" customHeight="false" outlineLevel="0" collapsed="false">
      <c r="A11" s="5"/>
      <c r="B11" s="5"/>
      <c r="C11" s="5"/>
      <c r="D11" s="18" t="str">
        <f aca="false">IF(A11="","",COUNTIF(الأقسام!$H$2:$H$100,A11))</f>
        <v/>
      </c>
      <c r="E11" s="18" t="str">
        <f aca="false">IF(A11="","",COUNTIF(الاختبارات!$I$2:$I$1000,A11))</f>
        <v/>
      </c>
      <c r="F11" s="18" t="str">
        <f aca="false">IF(A11="","",COUNTIFS(الاختبارات!$I$2:$I$1000,A11,الاختبارات!$J$2:$J$1000,"نجح"))</f>
        <v/>
      </c>
      <c r="G11" s="18" t="str">
        <f aca="false">IF(A11="","",COUNTIFS(الاختبارات!$I$2:$I$1000,A11,الاختبارات!$J$2:$J$1000,"فشل"))</f>
        <v/>
      </c>
      <c r="H11" s="19" t="str">
        <f aca="false">IF(OR(A11="",E11=0),"",(F11+G11)/E11)</f>
        <v/>
      </c>
      <c r="I11" s="18" t="str">
        <f aca="false">IF(A11="","",COUNTIF('الأخطاء والملاحظات'!$C$2:$C$301,A11))</f>
        <v/>
      </c>
    </row>
    <row r="12" customFormat="false" ht="15" hidden="false" customHeight="false" outlineLevel="0" collapsed="false">
      <c r="A12" s="5"/>
      <c r="B12" s="5"/>
      <c r="C12" s="5"/>
      <c r="D12" s="18" t="str">
        <f aca="false">IF(A12="","",COUNTIF(الأقسام!$H$2:$H$100,A12))</f>
        <v/>
      </c>
      <c r="E12" s="18" t="str">
        <f aca="false">IF(A12="","",COUNTIF(الاختبارات!$I$2:$I$1000,A12))</f>
        <v/>
      </c>
      <c r="F12" s="18" t="str">
        <f aca="false">IF(A12="","",COUNTIFS(الاختبارات!$I$2:$I$1000,A12,الاختبارات!$J$2:$J$1000,"نجح"))</f>
        <v/>
      </c>
      <c r="G12" s="18" t="str">
        <f aca="false">IF(A12="","",COUNTIFS(الاختبارات!$I$2:$I$1000,A12,الاختبارات!$J$2:$J$1000,"فشل"))</f>
        <v/>
      </c>
      <c r="H12" s="19" t="str">
        <f aca="false">IF(OR(A12="",E12=0),"",(F12+G12)/E12)</f>
        <v/>
      </c>
      <c r="I12" s="18" t="str">
        <f aca="false">IF(A12="","",COUNTIF('الأخطاء والملاحظات'!$C$2:$C$301,A12))</f>
        <v/>
      </c>
    </row>
    <row r="13" customFormat="false" ht="15" hidden="false" customHeight="false" outlineLevel="0" collapsed="false">
      <c r="A13" s="5"/>
      <c r="B13" s="5"/>
      <c r="C13" s="5"/>
      <c r="D13" s="18" t="str">
        <f aca="false">IF(A13="","",COUNTIF(الأقسام!$H$2:$H$100,A13))</f>
        <v/>
      </c>
      <c r="E13" s="18" t="str">
        <f aca="false">IF(A13="","",COUNTIF(الاختبارات!$I$2:$I$1000,A13))</f>
        <v/>
      </c>
      <c r="F13" s="18" t="str">
        <f aca="false">IF(A13="","",COUNTIFS(الاختبارات!$I$2:$I$1000,A13,الاختبارات!$J$2:$J$1000,"نجح"))</f>
        <v/>
      </c>
      <c r="G13" s="18" t="str">
        <f aca="false">IF(A13="","",COUNTIFS(الاختبارات!$I$2:$I$1000,A13,الاختبارات!$J$2:$J$1000,"فشل"))</f>
        <v/>
      </c>
      <c r="H13" s="19" t="str">
        <f aca="false">IF(OR(A13="",E13=0),"",(F13+G13)/E13)</f>
        <v/>
      </c>
      <c r="I13" s="18" t="str">
        <f aca="false">IF(A13="","",COUNTIF('الأخطاء والملاحظات'!$C$2:$C$301,A13))</f>
        <v/>
      </c>
    </row>
    <row r="14" customFormat="false" ht="15" hidden="false" customHeight="false" outlineLevel="0" collapsed="false">
      <c r="A14" s="5"/>
      <c r="B14" s="5"/>
      <c r="C14" s="5"/>
      <c r="D14" s="18" t="str">
        <f aca="false">IF(A14="","",COUNTIF(الأقسام!$H$2:$H$100,A14))</f>
        <v/>
      </c>
      <c r="E14" s="18" t="str">
        <f aca="false">IF(A14="","",COUNTIF(الاختبارات!$I$2:$I$1000,A14))</f>
        <v/>
      </c>
      <c r="F14" s="18" t="str">
        <f aca="false">IF(A14="","",COUNTIFS(الاختبارات!$I$2:$I$1000,A14,الاختبارات!$J$2:$J$1000,"نجح"))</f>
        <v/>
      </c>
      <c r="G14" s="18" t="str">
        <f aca="false">IF(A14="","",COUNTIFS(الاختبارات!$I$2:$I$1000,A14,الاختبارات!$J$2:$J$1000,"فشل"))</f>
        <v/>
      </c>
      <c r="H14" s="19" t="str">
        <f aca="false">IF(OR(A14="",E14=0),"",(F14+G14)/E14)</f>
        <v/>
      </c>
      <c r="I14" s="18" t="str">
        <f aca="false">IF(A14="","",COUNTIF('الأخطاء والملاحظات'!$C$2:$C$301,A14))</f>
        <v/>
      </c>
    </row>
    <row r="15" customFormat="false" ht="15" hidden="false" customHeight="false" outlineLevel="0" collapsed="false">
      <c r="A15" s="5"/>
      <c r="B15" s="5"/>
      <c r="C15" s="5"/>
      <c r="D15" s="18" t="str">
        <f aca="false">IF(A15="","",COUNTIF(الأقسام!$H$2:$H$100,A15))</f>
        <v/>
      </c>
      <c r="E15" s="18" t="str">
        <f aca="false">IF(A15="","",COUNTIF(الاختبارات!$I$2:$I$1000,A15))</f>
        <v/>
      </c>
      <c r="F15" s="18" t="str">
        <f aca="false">IF(A15="","",COUNTIFS(الاختبارات!$I$2:$I$1000,A15,الاختبارات!$J$2:$J$1000,"نجح"))</f>
        <v/>
      </c>
      <c r="G15" s="18" t="str">
        <f aca="false">IF(A15="","",COUNTIFS(الاختبارات!$I$2:$I$1000,A15,الاختبارات!$J$2:$J$1000,"فشل"))</f>
        <v/>
      </c>
      <c r="H15" s="19" t="str">
        <f aca="false">IF(OR(A15="",E15=0),"",(F15+G15)/E15)</f>
        <v/>
      </c>
      <c r="I15" s="18" t="str">
        <f aca="false">IF(A15="","",COUNTIF('الأخطاء والملاحظات'!$C$2:$C$301,A15))</f>
        <v/>
      </c>
    </row>
    <row r="16" customFormat="false" ht="15" hidden="false" customHeight="false" outlineLevel="0" collapsed="false">
      <c r="A16" s="5"/>
      <c r="B16" s="5"/>
      <c r="C16" s="5"/>
      <c r="D16" s="18" t="str">
        <f aca="false">IF(A16="","",COUNTIF(الأقسام!$H$2:$H$100,A16))</f>
        <v/>
      </c>
      <c r="E16" s="18" t="str">
        <f aca="false">IF(A16="","",COUNTIF(الاختبارات!$I$2:$I$1000,A16))</f>
        <v/>
      </c>
      <c r="F16" s="18" t="str">
        <f aca="false">IF(A16="","",COUNTIFS(الاختبارات!$I$2:$I$1000,A16,الاختبارات!$J$2:$J$1000,"نجح"))</f>
        <v/>
      </c>
      <c r="G16" s="18" t="str">
        <f aca="false">IF(A16="","",COUNTIFS(الاختبارات!$I$2:$I$1000,A16,الاختبارات!$J$2:$J$1000,"فشل"))</f>
        <v/>
      </c>
      <c r="H16" s="19" t="str">
        <f aca="false">IF(OR(A16="",E16=0),"",(F16+G16)/E16)</f>
        <v/>
      </c>
      <c r="I16" s="18" t="str">
        <f aca="false">IF(A16="","",COUNTIF('الأخطاء والملاحظات'!$C$2:$C$301,A16))</f>
        <v/>
      </c>
    </row>
    <row r="17" customFormat="false" ht="15" hidden="false" customHeight="false" outlineLevel="0" collapsed="false">
      <c r="A17" s="5"/>
      <c r="B17" s="5"/>
      <c r="C17" s="5"/>
      <c r="D17" s="18" t="str">
        <f aca="false">IF(A17="","",COUNTIF(الأقسام!$H$2:$H$100,A17))</f>
        <v/>
      </c>
      <c r="E17" s="18" t="str">
        <f aca="false">IF(A17="","",COUNTIF(الاختبارات!$I$2:$I$1000,A17))</f>
        <v/>
      </c>
      <c r="F17" s="18" t="str">
        <f aca="false">IF(A17="","",COUNTIFS(الاختبارات!$I$2:$I$1000,A17,الاختبارات!$J$2:$J$1000,"نجح"))</f>
        <v/>
      </c>
      <c r="G17" s="18" t="str">
        <f aca="false">IF(A17="","",COUNTIFS(الاختبارات!$I$2:$I$1000,A17,الاختبارات!$J$2:$J$1000,"فشل"))</f>
        <v/>
      </c>
      <c r="H17" s="19" t="str">
        <f aca="false">IF(OR(A17="",E17=0),"",(F17+G17)/E17)</f>
        <v/>
      </c>
      <c r="I17" s="18" t="str">
        <f aca="false">IF(A17="","",COUNTIF('الأخطاء والملاحظات'!$C$2:$C$301,A17))</f>
        <v/>
      </c>
    </row>
    <row r="18" customFormat="false" ht="15" hidden="false" customHeight="false" outlineLevel="0" collapsed="false">
      <c r="A18" s="5"/>
      <c r="B18" s="5"/>
      <c r="C18" s="5"/>
      <c r="D18" s="18" t="str">
        <f aca="false">IF(A18="","",COUNTIF(الأقسام!$H$2:$H$100,A18))</f>
        <v/>
      </c>
      <c r="E18" s="18" t="str">
        <f aca="false">IF(A18="","",COUNTIF(الاختبارات!$I$2:$I$1000,A18))</f>
        <v/>
      </c>
      <c r="F18" s="18" t="str">
        <f aca="false">IF(A18="","",COUNTIFS(الاختبارات!$I$2:$I$1000,A18,الاختبارات!$J$2:$J$1000,"نجح"))</f>
        <v/>
      </c>
      <c r="G18" s="18" t="str">
        <f aca="false">IF(A18="","",COUNTIFS(الاختبارات!$I$2:$I$1000,A18,الاختبارات!$J$2:$J$1000,"فشل"))</f>
        <v/>
      </c>
      <c r="H18" s="19" t="str">
        <f aca="false">IF(OR(A18="",E18=0),"",(F18+G18)/E18)</f>
        <v/>
      </c>
      <c r="I18" s="18" t="str">
        <f aca="false">IF(A18="","",COUNTIF('الأخطاء والملاحظات'!$C$2:$C$301,A18))</f>
        <v/>
      </c>
    </row>
    <row r="19" customFormat="false" ht="15" hidden="false" customHeight="false" outlineLevel="0" collapsed="false">
      <c r="A19" s="5"/>
      <c r="B19" s="5"/>
      <c r="C19" s="5"/>
      <c r="D19" s="18" t="str">
        <f aca="false">IF(A19="","",COUNTIF(الأقسام!$H$2:$H$100,A19))</f>
        <v/>
      </c>
      <c r="E19" s="18" t="str">
        <f aca="false">IF(A19="","",COUNTIF(الاختبارات!$I$2:$I$1000,A19))</f>
        <v/>
      </c>
      <c r="F19" s="18" t="str">
        <f aca="false">IF(A19="","",COUNTIFS(الاختبارات!$I$2:$I$1000,A19,الاختبارات!$J$2:$J$1000,"نجح"))</f>
        <v/>
      </c>
      <c r="G19" s="18" t="str">
        <f aca="false">IF(A19="","",COUNTIFS(الاختبارات!$I$2:$I$1000,A19,الاختبارات!$J$2:$J$1000,"فشل"))</f>
        <v/>
      </c>
      <c r="H19" s="19" t="str">
        <f aca="false">IF(OR(A19="",E19=0),"",(F19+G19)/E19)</f>
        <v/>
      </c>
      <c r="I19" s="18" t="str">
        <f aca="false">IF(A19="","",COUNTIF('الأخطاء والملاحظات'!$C$2:$C$301,A19))</f>
        <v/>
      </c>
    </row>
    <row r="20" customFormat="false" ht="15" hidden="false" customHeight="false" outlineLevel="0" collapsed="false">
      <c r="A20" s="5"/>
      <c r="B20" s="5"/>
      <c r="C20" s="5"/>
      <c r="D20" s="18" t="str">
        <f aca="false">IF(A20="","",COUNTIF(الأقسام!$H$2:$H$100,A20))</f>
        <v/>
      </c>
      <c r="E20" s="18" t="str">
        <f aca="false">IF(A20="","",COUNTIF(الاختبارات!$I$2:$I$1000,A20))</f>
        <v/>
      </c>
      <c r="F20" s="18" t="str">
        <f aca="false">IF(A20="","",COUNTIFS(الاختبارات!$I$2:$I$1000,A20,الاختبارات!$J$2:$J$1000,"نجح"))</f>
        <v/>
      </c>
      <c r="G20" s="18" t="str">
        <f aca="false">IF(A20="","",COUNTIFS(الاختبارات!$I$2:$I$1000,A20,الاختبارات!$J$2:$J$1000,"فشل"))</f>
        <v/>
      </c>
      <c r="H20" s="19" t="str">
        <f aca="false">IF(OR(A20="",E20=0),"",(F20+G20)/E20)</f>
        <v/>
      </c>
      <c r="I20" s="18" t="str">
        <f aca="false">IF(A20="","",COUNTIF('الأخطاء والملاحظات'!$C$2:$C$301,A20))</f>
        <v/>
      </c>
    </row>
    <row r="21" customFormat="false" ht="15" hidden="false" customHeight="false" outlineLevel="0" collapsed="false">
      <c r="A21" s="5"/>
      <c r="B21" s="5"/>
      <c r="C21" s="5"/>
      <c r="D21" s="18" t="str">
        <f aca="false">IF(A21="","",COUNTIF(الأقسام!$H$2:$H$100,A21))</f>
        <v/>
      </c>
      <c r="E21" s="18" t="str">
        <f aca="false">IF(A21="","",COUNTIF(الاختبارات!$I$2:$I$1000,A21))</f>
        <v/>
      </c>
      <c r="F21" s="18" t="str">
        <f aca="false">IF(A21="","",COUNTIFS(الاختبارات!$I$2:$I$1000,A21,الاختبارات!$J$2:$J$1000,"نجح"))</f>
        <v/>
      </c>
      <c r="G21" s="18" t="str">
        <f aca="false">IF(A21="","",COUNTIFS(الاختبارات!$I$2:$I$1000,A21,الاختبارات!$J$2:$J$1000,"فشل"))</f>
        <v/>
      </c>
      <c r="H21" s="19" t="str">
        <f aca="false">IF(OR(A21="",E21=0),"",(F21+G21)/E21)</f>
        <v/>
      </c>
      <c r="I21" s="18" t="str">
        <f aca="false">IF(A21="","",COUNTIF('الأخطاء والملاحظات'!$C$2:$C$301,A21))</f>
        <v/>
      </c>
    </row>
    <row r="22" customFormat="false" ht="15" hidden="false" customHeight="false" outlineLevel="0" collapsed="false">
      <c r="A22" s="5"/>
      <c r="B22" s="5"/>
      <c r="C22" s="5"/>
      <c r="D22" s="18" t="str">
        <f aca="false">IF(A22="","",COUNTIF(الأقسام!$H$2:$H$100,A22))</f>
        <v/>
      </c>
      <c r="E22" s="18" t="str">
        <f aca="false">IF(A22="","",COUNTIF(الاختبارات!$I$2:$I$1000,A22))</f>
        <v/>
      </c>
      <c r="F22" s="18" t="str">
        <f aca="false">IF(A22="","",COUNTIFS(الاختبارات!$I$2:$I$1000,A22,الاختبارات!$J$2:$J$1000,"نجح"))</f>
        <v/>
      </c>
      <c r="G22" s="18" t="str">
        <f aca="false">IF(A22="","",COUNTIFS(الاختبارات!$I$2:$I$1000,A22,الاختبارات!$J$2:$J$1000,"فشل"))</f>
        <v/>
      </c>
      <c r="H22" s="19" t="str">
        <f aca="false">IF(OR(A22="",E22=0),"",(F22+G22)/E22)</f>
        <v/>
      </c>
      <c r="I22" s="18" t="str">
        <f aca="false">IF(A22="","",COUNTIF('الأخطاء والملاحظات'!$C$2:$C$301,A22))</f>
        <v/>
      </c>
    </row>
    <row r="23" customFormat="false" ht="15" hidden="false" customHeight="false" outlineLevel="0" collapsed="false">
      <c r="A23" s="5"/>
      <c r="B23" s="5"/>
      <c r="C23" s="5"/>
      <c r="D23" s="18" t="str">
        <f aca="false">IF(A23="","",COUNTIF(الأقسام!$H$2:$H$100,A23))</f>
        <v/>
      </c>
      <c r="E23" s="18" t="str">
        <f aca="false">IF(A23="","",COUNTIF(الاختبارات!$I$2:$I$1000,A23))</f>
        <v/>
      </c>
      <c r="F23" s="18" t="str">
        <f aca="false">IF(A23="","",COUNTIFS(الاختبارات!$I$2:$I$1000,A23,الاختبارات!$J$2:$J$1000,"نجح"))</f>
        <v/>
      </c>
      <c r="G23" s="18" t="str">
        <f aca="false">IF(A23="","",COUNTIFS(الاختبارات!$I$2:$I$1000,A23,الاختبارات!$J$2:$J$1000,"فشل"))</f>
        <v/>
      </c>
      <c r="H23" s="19" t="str">
        <f aca="false">IF(OR(A23="",E23=0),"",(F23+G23)/E23)</f>
        <v/>
      </c>
      <c r="I23" s="18" t="str">
        <f aca="false">IF(A23="","",COUNTIF('الأخطاء والملاحظات'!$C$2:$C$301,A23))</f>
        <v/>
      </c>
    </row>
    <row r="24" customFormat="false" ht="15" hidden="false" customHeight="false" outlineLevel="0" collapsed="false">
      <c r="A24" s="5"/>
      <c r="B24" s="5"/>
      <c r="C24" s="5"/>
      <c r="D24" s="18" t="str">
        <f aca="false">IF(A24="","",COUNTIF(الأقسام!$H$2:$H$100,A24))</f>
        <v/>
      </c>
      <c r="E24" s="18" t="str">
        <f aca="false">IF(A24="","",COUNTIF(الاختبارات!$I$2:$I$1000,A24))</f>
        <v/>
      </c>
      <c r="F24" s="18" t="str">
        <f aca="false">IF(A24="","",COUNTIFS(الاختبارات!$I$2:$I$1000,A24,الاختبارات!$J$2:$J$1000,"نجح"))</f>
        <v/>
      </c>
      <c r="G24" s="18" t="str">
        <f aca="false">IF(A24="","",COUNTIFS(الاختبارات!$I$2:$I$1000,A24,الاختبارات!$J$2:$J$1000,"فشل"))</f>
        <v/>
      </c>
      <c r="H24" s="19" t="str">
        <f aca="false">IF(OR(A24="",E24=0),"",(F24+G24)/E24)</f>
        <v/>
      </c>
      <c r="I24" s="18" t="str">
        <f aca="false">IF(A24="","",COUNTIF('الأخطاء والملاحظات'!$C$2:$C$301,A24))</f>
        <v/>
      </c>
    </row>
    <row r="25" customFormat="false" ht="15" hidden="false" customHeight="false" outlineLevel="0" collapsed="false">
      <c r="A25" s="5"/>
      <c r="B25" s="5"/>
      <c r="C25" s="5"/>
      <c r="D25" s="18" t="str">
        <f aca="false">IF(A25="","",COUNTIF(الأقسام!$H$2:$H$100,A25))</f>
        <v/>
      </c>
      <c r="E25" s="18" t="str">
        <f aca="false">IF(A25="","",COUNTIF(الاختبارات!$I$2:$I$1000,A25))</f>
        <v/>
      </c>
      <c r="F25" s="18" t="str">
        <f aca="false">IF(A25="","",COUNTIFS(الاختبارات!$I$2:$I$1000,A25,الاختبارات!$J$2:$J$1000,"نجح"))</f>
        <v/>
      </c>
      <c r="G25" s="18" t="str">
        <f aca="false">IF(A25="","",COUNTIFS(الاختبارات!$I$2:$I$1000,A25,الاختبارات!$J$2:$J$1000,"فشل"))</f>
        <v/>
      </c>
      <c r="H25" s="19" t="str">
        <f aca="false">IF(OR(A25="",E25=0),"",(F25+G25)/E25)</f>
        <v/>
      </c>
      <c r="I25" s="18" t="str">
        <f aca="false">IF(A25="","",COUNTIF('الأخطاء والملاحظات'!$C$2:$C$301,A25))</f>
        <v/>
      </c>
    </row>
    <row r="26" customFormat="false" ht="15" hidden="false" customHeight="false" outlineLevel="0" collapsed="false">
      <c r="A26" s="5"/>
      <c r="B26" s="5"/>
      <c r="C26" s="5"/>
      <c r="D26" s="18" t="str">
        <f aca="false">IF(A26="","",COUNTIF(الأقسام!$H$2:$H$100,A26))</f>
        <v/>
      </c>
      <c r="E26" s="18" t="str">
        <f aca="false">IF(A26="","",COUNTIF(الاختبارات!$I$2:$I$1000,A26))</f>
        <v/>
      </c>
      <c r="F26" s="18" t="str">
        <f aca="false">IF(A26="","",COUNTIFS(الاختبارات!$I$2:$I$1000,A26,الاختبارات!$J$2:$J$1000,"نجح"))</f>
        <v/>
      </c>
      <c r="G26" s="18" t="str">
        <f aca="false">IF(A26="","",COUNTIFS(الاختبارات!$I$2:$I$1000,A26,الاختبارات!$J$2:$J$1000,"فشل"))</f>
        <v/>
      </c>
      <c r="H26" s="19" t="str">
        <f aca="false">IF(OR(A26="",E26=0),"",(F26+G26)/E26)</f>
        <v/>
      </c>
      <c r="I26" s="18" t="str">
        <f aca="false">IF(A26="","",COUNTIF('الأخطاء والملاحظات'!$C$2:$C$301,A26))</f>
        <v/>
      </c>
    </row>
    <row r="27" customFormat="false" ht="15" hidden="false" customHeight="false" outlineLevel="0" collapsed="false">
      <c r="A27" s="5"/>
      <c r="B27" s="5"/>
      <c r="C27" s="5"/>
      <c r="D27" s="18" t="str">
        <f aca="false">IF(A27="","",COUNTIF(الأقسام!$H$2:$H$100,A27))</f>
        <v/>
      </c>
      <c r="E27" s="18" t="str">
        <f aca="false">IF(A27="","",COUNTIF(الاختبارات!$I$2:$I$1000,A27))</f>
        <v/>
      </c>
      <c r="F27" s="18" t="str">
        <f aca="false">IF(A27="","",COUNTIFS(الاختبارات!$I$2:$I$1000,A27,الاختبارات!$J$2:$J$1000,"نجح"))</f>
        <v/>
      </c>
      <c r="G27" s="18" t="str">
        <f aca="false">IF(A27="","",COUNTIFS(الاختبارات!$I$2:$I$1000,A27,الاختبارات!$J$2:$J$1000,"فشل"))</f>
        <v/>
      </c>
      <c r="H27" s="19" t="str">
        <f aca="false">IF(OR(A27="",E27=0),"",(F27+G27)/E27)</f>
        <v/>
      </c>
      <c r="I27" s="18" t="str">
        <f aca="false">IF(A27="","",COUNTIF('الأخطاء والملاحظات'!$C$2:$C$301,A27))</f>
        <v/>
      </c>
    </row>
    <row r="28" customFormat="false" ht="15" hidden="false" customHeight="false" outlineLevel="0" collapsed="false">
      <c r="A28" s="5"/>
      <c r="B28" s="5"/>
      <c r="C28" s="5"/>
      <c r="D28" s="18" t="str">
        <f aca="false">IF(A28="","",COUNTIF(الأقسام!$H$2:$H$100,A28))</f>
        <v/>
      </c>
      <c r="E28" s="18" t="str">
        <f aca="false">IF(A28="","",COUNTIF(الاختبارات!$I$2:$I$1000,A28))</f>
        <v/>
      </c>
      <c r="F28" s="18" t="str">
        <f aca="false">IF(A28="","",COUNTIFS(الاختبارات!$I$2:$I$1000,A28,الاختبارات!$J$2:$J$1000,"نجح"))</f>
        <v/>
      </c>
      <c r="G28" s="18" t="str">
        <f aca="false">IF(A28="","",COUNTIFS(الاختبارات!$I$2:$I$1000,A28,الاختبارات!$J$2:$J$1000,"فشل"))</f>
        <v/>
      </c>
      <c r="H28" s="19" t="str">
        <f aca="false">IF(OR(A28="",E28=0),"",(F28+G28)/E28)</f>
        <v/>
      </c>
      <c r="I28" s="18" t="str">
        <f aca="false">IF(A28="","",COUNTIF('الأخطاء والملاحظات'!$C$2:$C$301,A28))</f>
        <v/>
      </c>
    </row>
    <row r="29" customFormat="false" ht="15" hidden="false" customHeight="false" outlineLevel="0" collapsed="false">
      <c r="A29" s="5"/>
      <c r="B29" s="5"/>
      <c r="C29" s="5"/>
      <c r="D29" s="18" t="str">
        <f aca="false">IF(A29="","",COUNTIF(الأقسام!$H$2:$H$100,A29))</f>
        <v/>
      </c>
      <c r="E29" s="18" t="str">
        <f aca="false">IF(A29="","",COUNTIF(الاختبارات!$I$2:$I$1000,A29))</f>
        <v/>
      </c>
      <c r="F29" s="18" t="str">
        <f aca="false">IF(A29="","",COUNTIFS(الاختبارات!$I$2:$I$1000,A29,الاختبارات!$J$2:$J$1000,"نجح"))</f>
        <v/>
      </c>
      <c r="G29" s="18" t="str">
        <f aca="false">IF(A29="","",COUNTIFS(الاختبارات!$I$2:$I$1000,A29,الاختبارات!$J$2:$J$1000,"فشل"))</f>
        <v/>
      </c>
      <c r="H29" s="19" t="str">
        <f aca="false">IF(OR(A29="",E29=0),"",(F29+G29)/E29)</f>
        <v/>
      </c>
      <c r="I29" s="18" t="str">
        <f aca="false">IF(A29="","",COUNTIF('الأخطاء والملاحظات'!$C$2:$C$301,A29))</f>
        <v/>
      </c>
    </row>
    <row r="30" customFormat="false" ht="15" hidden="false" customHeight="false" outlineLevel="0" collapsed="false">
      <c r="A30" s="5"/>
      <c r="B30" s="5"/>
      <c r="C30" s="5"/>
      <c r="D30" s="18" t="str">
        <f aca="false">IF(A30="","",COUNTIF(الأقسام!$H$2:$H$100,A30))</f>
        <v/>
      </c>
      <c r="E30" s="18" t="str">
        <f aca="false">IF(A30="","",COUNTIF(الاختبارات!$I$2:$I$1000,A30))</f>
        <v/>
      </c>
      <c r="F30" s="18" t="str">
        <f aca="false">IF(A30="","",COUNTIFS(الاختبارات!$I$2:$I$1000,A30,الاختبارات!$J$2:$J$1000,"نجح"))</f>
        <v/>
      </c>
      <c r="G30" s="18" t="str">
        <f aca="false">IF(A30="","",COUNTIFS(الاختبارات!$I$2:$I$1000,A30,الاختبارات!$J$2:$J$1000,"فشل"))</f>
        <v/>
      </c>
      <c r="H30" s="19" t="str">
        <f aca="false">IF(OR(A30="",E30=0),"",(F30+G30)/E30)</f>
        <v/>
      </c>
      <c r="I30" s="18" t="str">
        <f aca="false">IF(A30="","",COUNTIF('الأخطاء والملاحظات'!$C$2:$C$301,A30))</f>
        <v/>
      </c>
    </row>
    <row r="31" customFormat="false" ht="15" hidden="false" customHeight="false" outlineLevel="0" collapsed="false">
      <c r="A31" s="5"/>
      <c r="B31" s="5"/>
      <c r="C31" s="5"/>
      <c r="D31" s="18" t="str">
        <f aca="false">IF(A31="","",COUNTIF(الأقسام!$H$2:$H$100,A31))</f>
        <v/>
      </c>
      <c r="E31" s="18" t="str">
        <f aca="false">IF(A31="","",COUNTIF(الاختبارات!$I$2:$I$1000,A31))</f>
        <v/>
      </c>
      <c r="F31" s="18" t="str">
        <f aca="false">IF(A31="","",COUNTIFS(الاختبارات!$I$2:$I$1000,A31,الاختبارات!$J$2:$J$1000,"نجح"))</f>
        <v/>
      </c>
      <c r="G31" s="18" t="str">
        <f aca="false">IF(A31="","",COUNTIFS(الاختبارات!$I$2:$I$1000,A31,الاختبارات!$J$2:$J$1000,"فشل"))</f>
        <v/>
      </c>
      <c r="H31" s="19" t="str">
        <f aca="false">IF(OR(A31="",E31=0),"",(F31+G31)/E31)</f>
        <v/>
      </c>
      <c r="I31" s="18" t="str">
        <f aca="false">IF(A31="","",COUNTIF('الأخطاء والملاحظات'!$C$2:$C$301,A31))</f>
        <v/>
      </c>
    </row>
    <row r="32" customFormat="false" ht="15" hidden="false" customHeight="false" outlineLevel="0" collapsed="false">
      <c r="A32" s="5"/>
      <c r="B32" s="5"/>
      <c r="C32" s="5"/>
      <c r="D32" s="18" t="str">
        <f aca="false">IF(A32="","",COUNTIF(الأقسام!$H$2:$H$100,A32))</f>
        <v/>
      </c>
      <c r="E32" s="18" t="str">
        <f aca="false">IF(A32="","",COUNTIF(الاختبارات!$I$2:$I$1000,A32))</f>
        <v/>
      </c>
      <c r="F32" s="18" t="str">
        <f aca="false">IF(A32="","",COUNTIFS(الاختبارات!$I$2:$I$1000,A32,الاختبارات!$J$2:$J$1000,"نجح"))</f>
        <v/>
      </c>
      <c r="G32" s="18" t="str">
        <f aca="false">IF(A32="","",COUNTIFS(الاختبارات!$I$2:$I$1000,A32,الاختبارات!$J$2:$J$1000,"فشل"))</f>
        <v/>
      </c>
      <c r="H32" s="19" t="str">
        <f aca="false">IF(OR(A32="",E32=0),"",(F32+G32)/E32)</f>
        <v/>
      </c>
      <c r="I32" s="18" t="str">
        <f aca="false">IF(A32="","",COUNTIF('الأخطاء والملاحظات'!$C$2:$C$301,A32))</f>
        <v/>
      </c>
    </row>
    <row r="33" customFormat="false" ht="15" hidden="false" customHeight="false" outlineLevel="0" collapsed="false">
      <c r="A33" s="5"/>
      <c r="B33" s="5"/>
      <c r="C33" s="5"/>
      <c r="D33" s="18" t="str">
        <f aca="false">IF(A33="","",COUNTIF(الأقسام!$H$2:$H$100,A33))</f>
        <v/>
      </c>
      <c r="E33" s="18" t="str">
        <f aca="false">IF(A33="","",COUNTIF(الاختبارات!$I$2:$I$1000,A33))</f>
        <v/>
      </c>
      <c r="F33" s="18" t="str">
        <f aca="false">IF(A33="","",COUNTIFS(الاختبارات!$I$2:$I$1000,A33,الاختبارات!$J$2:$J$1000,"نجح"))</f>
        <v/>
      </c>
      <c r="G33" s="18" t="str">
        <f aca="false">IF(A33="","",COUNTIFS(الاختبارات!$I$2:$I$1000,A33,الاختبارات!$J$2:$J$1000,"فشل"))</f>
        <v/>
      </c>
      <c r="H33" s="19" t="str">
        <f aca="false">IF(OR(A33="",E33=0),"",(F33+G33)/E33)</f>
        <v/>
      </c>
      <c r="I33" s="18" t="str">
        <f aca="false">IF(A33="","",COUNTIF('الأخطاء والملاحظات'!$C$2:$C$301,A33))</f>
        <v/>
      </c>
    </row>
    <row r="34" customFormat="false" ht="15" hidden="false" customHeight="false" outlineLevel="0" collapsed="false">
      <c r="A34" s="5"/>
      <c r="B34" s="5"/>
      <c r="C34" s="5"/>
      <c r="D34" s="18" t="str">
        <f aca="false">IF(A34="","",COUNTIF(الأقسام!$H$2:$H$100,A34))</f>
        <v/>
      </c>
      <c r="E34" s="18" t="str">
        <f aca="false">IF(A34="","",COUNTIF(الاختبارات!$I$2:$I$1000,A34))</f>
        <v/>
      </c>
      <c r="F34" s="18" t="str">
        <f aca="false">IF(A34="","",COUNTIFS(الاختبارات!$I$2:$I$1000,A34,الاختبارات!$J$2:$J$1000,"نجح"))</f>
        <v/>
      </c>
      <c r="G34" s="18" t="str">
        <f aca="false">IF(A34="","",COUNTIFS(الاختبارات!$I$2:$I$1000,A34,الاختبارات!$J$2:$J$1000,"فشل"))</f>
        <v/>
      </c>
      <c r="H34" s="19" t="str">
        <f aca="false">IF(OR(A34="",E34=0),"",(F34+G34)/E34)</f>
        <v/>
      </c>
      <c r="I34" s="18" t="str">
        <f aca="false">IF(A34="","",COUNTIF('الأخطاء والملاحظات'!$C$2:$C$301,A34))</f>
        <v/>
      </c>
    </row>
    <row r="35" customFormat="false" ht="15" hidden="false" customHeight="false" outlineLevel="0" collapsed="false">
      <c r="A35" s="5"/>
      <c r="B35" s="5"/>
      <c r="C35" s="5"/>
      <c r="D35" s="18" t="str">
        <f aca="false">IF(A35="","",COUNTIF(الأقسام!$H$2:$H$100,A35))</f>
        <v/>
      </c>
      <c r="E35" s="18" t="str">
        <f aca="false">IF(A35="","",COUNTIF(الاختبارات!$I$2:$I$1000,A35))</f>
        <v/>
      </c>
      <c r="F35" s="18" t="str">
        <f aca="false">IF(A35="","",COUNTIFS(الاختبارات!$I$2:$I$1000,A35,الاختبارات!$J$2:$J$1000,"نجح"))</f>
        <v/>
      </c>
      <c r="G35" s="18" t="str">
        <f aca="false">IF(A35="","",COUNTIFS(الاختبارات!$I$2:$I$1000,A35,الاختبارات!$J$2:$J$1000,"فشل"))</f>
        <v/>
      </c>
      <c r="H35" s="19" t="str">
        <f aca="false">IF(OR(A35="",E35=0),"",(F35+G35)/E35)</f>
        <v/>
      </c>
      <c r="I35" s="18" t="str">
        <f aca="false">IF(A35="","",COUNTIF('الأخطاء والملاحظات'!$C$2:$C$301,A35))</f>
        <v/>
      </c>
    </row>
    <row r="36" customFormat="false" ht="15" hidden="false" customHeight="false" outlineLevel="0" collapsed="false">
      <c r="A36" s="5"/>
      <c r="B36" s="5"/>
      <c r="C36" s="5"/>
      <c r="D36" s="18" t="str">
        <f aca="false">IF(A36="","",COUNTIF(الأقسام!$H$2:$H$100,A36))</f>
        <v/>
      </c>
      <c r="E36" s="18" t="str">
        <f aca="false">IF(A36="","",COUNTIF(الاختبارات!$I$2:$I$1000,A36))</f>
        <v/>
      </c>
      <c r="F36" s="18" t="str">
        <f aca="false">IF(A36="","",COUNTIFS(الاختبارات!$I$2:$I$1000,A36,الاختبارات!$J$2:$J$1000,"نجح"))</f>
        <v/>
      </c>
      <c r="G36" s="18" t="str">
        <f aca="false">IF(A36="","",COUNTIFS(الاختبارات!$I$2:$I$1000,A36,الاختبارات!$J$2:$J$1000,"فشل"))</f>
        <v/>
      </c>
      <c r="H36" s="19" t="str">
        <f aca="false">IF(OR(A36="",E36=0),"",(F36+G36)/E36)</f>
        <v/>
      </c>
      <c r="I36" s="18" t="str">
        <f aca="false">IF(A36="","",COUNTIF('الأخطاء والملاحظات'!$C$2:$C$301,A36))</f>
        <v/>
      </c>
    </row>
    <row r="37" customFormat="false" ht="15" hidden="false" customHeight="false" outlineLevel="0" collapsed="false">
      <c r="A37" s="5"/>
      <c r="B37" s="5"/>
      <c r="C37" s="5"/>
      <c r="D37" s="18" t="str">
        <f aca="false">IF(A37="","",COUNTIF(الأقسام!$H$2:$H$100,A37))</f>
        <v/>
      </c>
      <c r="E37" s="18" t="str">
        <f aca="false">IF(A37="","",COUNTIF(الاختبارات!$I$2:$I$1000,A37))</f>
        <v/>
      </c>
      <c r="F37" s="18" t="str">
        <f aca="false">IF(A37="","",COUNTIFS(الاختبارات!$I$2:$I$1000,A37,الاختبارات!$J$2:$J$1000,"نجح"))</f>
        <v/>
      </c>
      <c r="G37" s="18" t="str">
        <f aca="false">IF(A37="","",COUNTIFS(الاختبارات!$I$2:$I$1000,A37,الاختبارات!$J$2:$J$1000,"فشل"))</f>
        <v/>
      </c>
      <c r="H37" s="19" t="str">
        <f aca="false">IF(OR(A37="",E37=0),"",(F37+G37)/E37)</f>
        <v/>
      </c>
      <c r="I37" s="18" t="str">
        <f aca="false">IF(A37="","",COUNTIF('الأخطاء والملاحظات'!$C$2:$C$301,A37))</f>
        <v/>
      </c>
    </row>
    <row r="38" customFormat="false" ht="15" hidden="false" customHeight="false" outlineLevel="0" collapsed="false">
      <c r="A38" s="5"/>
      <c r="B38" s="5"/>
      <c r="C38" s="5"/>
      <c r="D38" s="18" t="str">
        <f aca="false">IF(A38="","",COUNTIF(الأقسام!$H$2:$H$100,A38))</f>
        <v/>
      </c>
      <c r="E38" s="18" t="str">
        <f aca="false">IF(A38="","",COUNTIF(الاختبارات!$I$2:$I$1000,A38))</f>
        <v/>
      </c>
      <c r="F38" s="18" t="str">
        <f aca="false">IF(A38="","",COUNTIFS(الاختبارات!$I$2:$I$1000,A38,الاختبارات!$J$2:$J$1000,"نجح"))</f>
        <v/>
      </c>
      <c r="G38" s="18" t="str">
        <f aca="false">IF(A38="","",COUNTIFS(الاختبارات!$I$2:$I$1000,A38,الاختبارات!$J$2:$J$1000,"فشل"))</f>
        <v/>
      </c>
      <c r="H38" s="19" t="str">
        <f aca="false">IF(OR(A38="",E38=0),"",(F38+G38)/E38)</f>
        <v/>
      </c>
      <c r="I38" s="18" t="str">
        <f aca="false">IF(A38="","",COUNTIF('الأخطاء والملاحظات'!$C$2:$C$301,A38))</f>
        <v/>
      </c>
    </row>
    <row r="39" customFormat="false" ht="15" hidden="false" customHeight="false" outlineLevel="0" collapsed="false">
      <c r="A39" s="5"/>
      <c r="B39" s="5"/>
      <c r="C39" s="5"/>
      <c r="D39" s="18" t="str">
        <f aca="false">IF(A39="","",COUNTIF(الأقسام!$H$2:$H$100,A39))</f>
        <v/>
      </c>
      <c r="E39" s="18" t="str">
        <f aca="false">IF(A39="","",COUNTIF(الاختبارات!$I$2:$I$1000,A39))</f>
        <v/>
      </c>
      <c r="F39" s="18" t="str">
        <f aca="false">IF(A39="","",COUNTIFS(الاختبارات!$I$2:$I$1000,A39,الاختبارات!$J$2:$J$1000,"نجح"))</f>
        <v/>
      </c>
      <c r="G39" s="18" t="str">
        <f aca="false">IF(A39="","",COUNTIFS(الاختبارات!$I$2:$I$1000,A39,الاختبارات!$J$2:$J$1000,"فشل"))</f>
        <v/>
      </c>
      <c r="H39" s="19" t="str">
        <f aca="false">IF(OR(A39="",E39=0),"",(F39+G39)/E39)</f>
        <v/>
      </c>
      <c r="I39" s="18" t="str">
        <f aca="false">IF(A39="","",COUNTIF('الأخطاء والملاحظات'!$C$2:$C$301,A39))</f>
        <v/>
      </c>
    </row>
    <row r="40" customFormat="false" ht="15" hidden="false" customHeight="false" outlineLevel="0" collapsed="false">
      <c r="A40" s="5"/>
      <c r="B40" s="5"/>
      <c r="C40" s="5"/>
      <c r="D40" s="18" t="str">
        <f aca="false">IF(A40="","",COUNTIF(الأقسام!$H$2:$H$100,A40))</f>
        <v/>
      </c>
      <c r="E40" s="18" t="str">
        <f aca="false">IF(A40="","",COUNTIF(الاختبارات!$I$2:$I$1000,A40))</f>
        <v/>
      </c>
      <c r="F40" s="18" t="str">
        <f aca="false">IF(A40="","",COUNTIFS(الاختبارات!$I$2:$I$1000,A40,الاختبارات!$J$2:$J$1000,"نجح"))</f>
        <v/>
      </c>
      <c r="G40" s="18" t="str">
        <f aca="false">IF(A40="","",COUNTIFS(الاختبارات!$I$2:$I$1000,A40,الاختبارات!$J$2:$J$1000,"فشل"))</f>
        <v/>
      </c>
      <c r="H40" s="19" t="str">
        <f aca="false">IF(OR(A40="",E40=0),"",(F40+G40)/E40)</f>
        <v/>
      </c>
      <c r="I40" s="18" t="str">
        <f aca="false">IF(A40="","",COUNTIF('الأخطاء والملاحظات'!$C$2:$C$301,A40))</f>
        <v/>
      </c>
    </row>
    <row r="41" customFormat="false" ht="15" hidden="false" customHeight="false" outlineLevel="0" collapsed="false">
      <c r="A41" s="5"/>
      <c r="B41" s="5"/>
      <c r="C41" s="5"/>
      <c r="D41" s="18" t="str">
        <f aca="false">IF(A41="","",COUNTIF(الأقسام!$H$2:$H$100,A41))</f>
        <v/>
      </c>
      <c r="E41" s="18" t="str">
        <f aca="false">IF(A41="","",COUNTIF(الاختبارات!$I$2:$I$1000,A41))</f>
        <v/>
      </c>
      <c r="F41" s="18" t="str">
        <f aca="false">IF(A41="","",COUNTIFS(الاختبارات!$I$2:$I$1000,A41,الاختبارات!$J$2:$J$1000,"نجح"))</f>
        <v/>
      </c>
      <c r="G41" s="18" t="str">
        <f aca="false">IF(A41="","",COUNTIFS(الاختبارات!$I$2:$I$1000,A41,الاختبارات!$J$2:$J$1000,"فشل"))</f>
        <v/>
      </c>
      <c r="H41" s="19" t="str">
        <f aca="false">IF(OR(A41="",E41=0),"",(F41+G41)/E41)</f>
        <v/>
      </c>
      <c r="I41" s="18" t="str">
        <f aca="false">IF(A41="","",COUNTIF('الأخطاء والملاحظات'!$C$2:$C$301,A41))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2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28" t="s">
        <v>1085</v>
      </c>
    </row>
    <row r="3" customFormat="false" ht="33.75" hidden="false" customHeight="true" outlineLevel="0" collapsed="false">
      <c r="A3" s="13"/>
      <c r="B3" s="13" t="s">
        <v>1086</v>
      </c>
      <c r="C3" s="13" t="s">
        <v>1087</v>
      </c>
    </row>
    <row r="4" customFormat="false" ht="15" hidden="false" customHeight="false" outlineLevel="0" collapsed="false">
      <c r="A4" s="4" t="s">
        <v>1088</v>
      </c>
      <c r="B4" s="29" t="n">
        <f aca="false">COUNTA(الاختبارات!$A$2:$A$140)</f>
        <v>139</v>
      </c>
      <c r="C4" s="19" t="n">
        <f aca="false">IF($B$4=0,0,B4/$B$4)</f>
        <v>1</v>
      </c>
    </row>
    <row r="5" customFormat="false" ht="15" hidden="false" customHeight="false" outlineLevel="0" collapsed="false">
      <c r="A5" s="4" t="s">
        <v>26</v>
      </c>
      <c r="B5" s="29" t="n">
        <f aca="false">COUNTIF(الاختبارات!$J$2:$J$140,"نجح")</f>
        <v>0</v>
      </c>
      <c r="C5" s="19" t="n">
        <f aca="false">IF($B$4=0,0,B5/$B$4)</f>
        <v>0</v>
      </c>
    </row>
    <row r="6" customFormat="false" ht="15" hidden="false" customHeight="false" outlineLevel="0" collapsed="false">
      <c r="A6" s="4" t="s">
        <v>28</v>
      </c>
      <c r="B6" s="29" t="n">
        <f aca="false">COUNTIF(الاختبارات!$J$2:$J$140,"فشل")</f>
        <v>0</v>
      </c>
      <c r="C6" s="19" t="n">
        <f aca="false">IF($B$4=0,0,B6/$B$4)</f>
        <v>0</v>
      </c>
    </row>
    <row r="7" customFormat="false" ht="15" hidden="false" customHeight="false" outlineLevel="0" collapsed="false">
      <c r="A7" s="4" t="s">
        <v>30</v>
      </c>
      <c r="B7" s="29" t="n">
        <f aca="false">COUNTIF(الاختبارات!$J$2:$J$140,"متوقف")</f>
        <v>0</v>
      </c>
      <c r="C7" s="19" t="n">
        <f aca="false">IF($B$4=0,0,B7/$B$4)</f>
        <v>0</v>
      </c>
    </row>
    <row r="8" customFormat="false" ht="15" hidden="false" customHeight="false" outlineLevel="0" collapsed="false">
      <c r="A8" s="4" t="s">
        <v>24</v>
      </c>
      <c r="B8" s="29" t="n">
        <f aca="false">COUNTIF(الاختبارات!$J$2:$J$140,"قيد التنفيذ")</f>
        <v>0</v>
      </c>
      <c r="C8" s="19" t="n">
        <f aca="false">IF($B$4=0,0,B8/$B$4)</f>
        <v>0</v>
      </c>
    </row>
    <row r="9" customFormat="false" ht="15" hidden="false" customHeight="false" outlineLevel="0" collapsed="false">
      <c r="A9" s="4" t="s">
        <v>22</v>
      </c>
      <c r="B9" s="29" t="n">
        <f aca="false">B4-B5-B6-B7-B8</f>
        <v>139</v>
      </c>
      <c r="C9" s="19" t="n">
        <f aca="false">IF($B$4=0,0,B9/$B$4)</f>
        <v>1</v>
      </c>
    </row>
    <row r="11" customFormat="false" ht="17.35" hidden="false" customHeight="false" outlineLevel="0" collapsed="false">
      <c r="A11" s="30" t="s">
        <v>1089</v>
      </c>
      <c r="B11" s="31" t="n">
        <f aca="false">IF(B4=0,0,(B5+B6)/B4)</f>
        <v>0</v>
      </c>
    </row>
    <row r="12" customFormat="false" ht="15" hidden="false" customHeight="false" outlineLevel="0" collapsed="false">
      <c r="A12" s="4" t="s">
        <v>1090</v>
      </c>
      <c r="B12" s="29" t="n">
        <f aca="false">COUNTIFS(الاختبارات!$H$2:$H$140,"أساسي",الاختبارات!$J$2:$J$140,"نجح")+COUNTIFS(الاختبارات!$H$2:$H$140,"أساسي",الاختبارات!$J$2:$J$140,"فشل")</f>
        <v>0</v>
      </c>
      <c r="C12" s="18" t="n">
        <f aca="false">COUNTIF(الاختبارات!$H$2:$H$140,"أساسي")</f>
        <v>58</v>
      </c>
      <c r="D12" s="15" t="s">
        <v>1091</v>
      </c>
    </row>
    <row r="14" customFormat="false" ht="33.75" hidden="false" customHeight="true" outlineLevel="0" collapsed="false">
      <c r="A14" s="13" t="s">
        <v>65</v>
      </c>
      <c r="B14" s="13" t="s">
        <v>145</v>
      </c>
      <c r="C14" s="13" t="s">
        <v>1092</v>
      </c>
      <c r="D14" s="13" t="s">
        <v>26</v>
      </c>
      <c r="E14" s="13" t="s">
        <v>28</v>
      </c>
      <c r="F14" s="13" t="s">
        <v>30</v>
      </c>
      <c r="G14" s="13" t="s">
        <v>75</v>
      </c>
      <c r="H14" s="13" t="s">
        <v>76</v>
      </c>
    </row>
    <row r="15" customFormat="false" ht="15" hidden="false" customHeight="false" outlineLevel="0" collapsed="false">
      <c r="A15" s="32" t="str">
        <f aca="false">الأقسام!B2</f>
        <v>التثبيت وأول تشغيل</v>
      </c>
      <c r="B15" s="18" t="str">
        <f aca="false">الأقسام!H2&amp;""</f>
        <v/>
      </c>
      <c r="C15" s="18" t="n">
        <f aca="false">الأقسام!J2</f>
        <v>11</v>
      </c>
      <c r="D15" s="18" t="n">
        <f aca="false">الأقسام!K2</f>
        <v>0</v>
      </c>
      <c r="E15" s="18" t="n">
        <f aca="false">الأقسام!L2</f>
        <v>0</v>
      </c>
      <c r="F15" s="18" t="n">
        <f aca="false">الأقسام!M2</f>
        <v>0</v>
      </c>
      <c r="G15" s="19" t="n">
        <f aca="false">الأقسام!O2</f>
        <v>0</v>
      </c>
      <c r="H15" s="20" t="str">
        <f aca="false">الأقسام!P2</f>
        <v>متاح للحجز</v>
      </c>
    </row>
    <row r="16" customFormat="false" ht="15" hidden="false" customHeight="false" outlineLevel="0" collapsed="false">
      <c r="A16" s="32" t="str">
        <f aca="false">الأقسام!B3</f>
        <v>الإعدادات والفئات العمرية</v>
      </c>
      <c r="B16" s="18" t="str">
        <f aca="false">الأقسام!H3&amp;""</f>
        <v/>
      </c>
      <c r="C16" s="18" t="n">
        <f aca="false">الأقسام!J3</f>
        <v>11</v>
      </c>
      <c r="D16" s="18" t="n">
        <f aca="false">الأقسام!K3</f>
        <v>0</v>
      </c>
      <c r="E16" s="18" t="n">
        <f aca="false">الأقسام!L3</f>
        <v>0</v>
      </c>
      <c r="F16" s="18" t="n">
        <f aca="false">الأقسام!M3</f>
        <v>0</v>
      </c>
      <c r="G16" s="19" t="n">
        <f aca="false">الأقسام!O3</f>
        <v>0</v>
      </c>
      <c r="H16" s="20" t="str">
        <f aca="false">الأقسام!P3</f>
        <v>متاح للحجز</v>
      </c>
    </row>
    <row r="17" customFormat="false" ht="15" hidden="false" customHeight="false" outlineLevel="0" collapsed="false">
      <c r="A17" s="32" t="str">
        <f aca="false">الأقسام!B4</f>
        <v>المستخدمون والصلاحيات</v>
      </c>
      <c r="B17" s="18" t="str">
        <f aca="false">الأقسام!H4&amp;""</f>
        <v/>
      </c>
      <c r="C17" s="18" t="n">
        <f aca="false">الأقسام!J4</f>
        <v>13</v>
      </c>
      <c r="D17" s="18" t="n">
        <f aca="false">الأقسام!K4</f>
        <v>0</v>
      </c>
      <c r="E17" s="18" t="n">
        <f aca="false">الأقسام!L4</f>
        <v>0</v>
      </c>
      <c r="F17" s="18" t="n">
        <f aca="false">الأقسام!M4</f>
        <v>0</v>
      </c>
      <c r="G17" s="19" t="n">
        <f aca="false">الأقسام!O4</f>
        <v>0</v>
      </c>
      <c r="H17" s="20" t="str">
        <f aca="false">الأقسام!P4</f>
        <v>متاح للحجز</v>
      </c>
    </row>
    <row r="18" customFormat="false" ht="15" hidden="false" customHeight="false" outlineLevel="0" collapsed="false">
      <c r="A18" s="32" t="str">
        <f aca="false">الأقسام!B5</f>
        <v>المعلمون</v>
      </c>
      <c r="B18" s="18" t="str">
        <f aca="false">الأقسام!H5&amp;""</f>
        <v/>
      </c>
      <c r="C18" s="18" t="n">
        <f aca="false">الأقسام!J5</f>
        <v>8</v>
      </c>
      <c r="D18" s="18" t="n">
        <f aca="false">الأقسام!K5</f>
        <v>0</v>
      </c>
      <c r="E18" s="18" t="n">
        <f aca="false">الأقسام!L5</f>
        <v>0</v>
      </c>
      <c r="F18" s="18" t="n">
        <f aca="false">الأقسام!M5</f>
        <v>0</v>
      </c>
      <c r="G18" s="19" t="n">
        <f aca="false">الأقسام!O5</f>
        <v>0</v>
      </c>
      <c r="H18" s="20" t="str">
        <f aca="false">الأقسام!P5</f>
        <v>متاح للحجز</v>
      </c>
    </row>
    <row r="19" customFormat="false" ht="15" hidden="false" customHeight="false" outlineLevel="0" collapsed="false">
      <c r="A19" s="32" t="str">
        <f aca="false">الأقسام!B6</f>
        <v>الطلاب</v>
      </c>
      <c r="B19" s="18" t="str">
        <f aca="false">الأقسام!H6&amp;""</f>
        <v/>
      </c>
      <c r="C19" s="18" t="n">
        <f aca="false">الأقسام!J6</f>
        <v>16</v>
      </c>
      <c r="D19" s="18" t="n">
        <f aca="false">الأقسام!K6</f>
        <v>0</v>
      </c>
      <c r="E19" s="18" t="n">
        <f aca="false">الأقسام!L6</f>
        <v>0</v>
      </c>
      <c r="F19" s="18" t="n">
        <f aca="false">الأقسام!M6</f>
        <v>0</v>
      </c>
      <c r="G19" s="19" t="n">
        <f aca="false">الأقسام!O6</f>
        <v>0</v>
      </c>
      <c r="H19" s="20" t="str">
        <f aca="false">الأقسام!P6</f>
        <v>متاح للحجز</v>
      </c>
    </row>
    <row r="20" customFormat="false" ht="15" hidden="false" customHeight="false" outlineLevel="0" collapsed="false">
      <c r="A20" s="32" t="str">
        <f aca="false">الأقسام!B7</f>
        <v>الفصول وتسجيل الطلاب</v>
      </c>
      <c r="B20" s="18" t="str">
        <f aca="false">الأقسام!H7&amp;""</f>
        <v/>
      </c>
      <c r="C20" s="18" t="n">
        <f aca="false">الأقسام!J7</f>
        <v>12</v>
      </c>
      <c r="D20" s="18" t="n">
        <f aca="false">الأقسام!K7</f>
        <v>0</v>
      </c>
      <c r="E20" s="18" t="n">
        <f aca="false">الأقسام!L7</f>
        <v>0</v>
      </c>
      <c r="F20" s="18" t="n">
        <f aca="false">الأقسام!M7</f>
        <v>0</v>
      </c>
      <c r="G20" s="19" t="n">
        <f aca="false">الأقسام!O7</f>
        <v>0</v>
      </c>
      <c r="H20" s="20" t="str">
        <f aca="false">الأقسام!P7</f>
        <v>متاح للحجز</v>
      </c>
    </row>
    <row r="21" customFormat="false" ht="15" hidden="false" customHeight="false" outlineLevel="0" collapsed="false">
      <c r="A21" s="32" t="str">
        <f aca="false">الأقسام!B8</f>
        <v>الحضور والغياب</v>
      </c>
      <c r="B21" s="18" t="str">
        <f aca="false">الأقسام!H8&amp;""</f>
        <v/>
      </c>
      <c r="C21" s="18" t="n">
        <f aca="false">الأقسام!J8</f>
        <v>9</v>
      </c>
      <c r="D21" s="18" t="n">
        <f aca="false">الأقسام!K8</f>
        <v>0</v>
      </c>
      <c r="E21" s="18" t="n">
        <f aca="false">الأقسام!L8</f>
        <v>0</v>
      </c>
      <c r="F21" s="18" t="n">
        <f aca="false">الأقسام!M8</f>
        <v>0</v>
      </c>
      <c r="G21" s="19" t="n">
        <f aca="false">الأقسام!O8</f>
        <v>0</v>
      </c>
      <c r="H21" s="20" t="str">
        <f aca="false">الأقسام!P8</f>
        <v>متاح للحجز</v>
      </c>
    </row>
    <row r="22" customFormat="false" ht="15" hidden="false" customHeight="false" outlineLevel="0" collapsed="false">
      <c r="A22" s="32" t="str">
        <f aca="false">الأقسام!B9</f>
        <v>رسوم الطلاب والدفعات</v>
      </c>
      <c r="B22" s="18" t="str">
        <f aca="false">الأقسام!H9&amp;""</f>
        <v/>
      </c>
      <c r="C22" s="18" t="n">
        <f aca="false">الأقسام!J9</f>
        <v>21</v>
      </c>
      <c r="D22" s="18" t="n">
        <f aca="false">الأقسام!K9</f>
        <v>0</v>
      </c>
      <c r="E22" s="18" t="n">
        <f aca="false">الأقسام!L9</f>
        <v>0</v>
      </c>
      <c r="F22" s="18" t="n">
        <f aca="false">الأقسام!M9</f>
        <v>0</v>
      </c>
      <c r="G22" s="19" t="n">
        <f aca="false">الأقسام!O9</f>
        <v>0</v>
      </c>
      <c r="H22" s="20" t="str">
        <f aca="false">الأقسام!P9</f>
        <v>متاح للحجز</v>
      </c>
    </row>
    <row r="23" customFormat="false" ht="15" hidden="false" customHeight="false" outlineLevel="0" collapsed="false">
      <c r="A23" s="32" t="str">
        <f aca="false">الأقسام!B10</f>
        <v>المداخيل والمصاريف ولوحة التحكم المالية</v>
      </c>
      <c r="B23" s="18" t="str">
        <f aca="false">الأقسام!H10&amp;""</f>
        <v/>
      </c>
      <c r="C23" s="18" t="n">
        <f aca="false">الأقسام!J10</f>
        <v>12</v>
      </c>
      <c r="D23" s="18" t="n">
        <f aca="false">الأقسام!K10</f>
        <v>0</v>
      </c>
      <c r="E23" s="18" t="n">
        <f aca="false">الأقسام!L10</f>
        <v>0</v>
      </c>
      <c r="F23" s="18" t="n">
        <f aca="false">الأقسام!M10</f>
        <v>0</v>
      </c>
      <c r="G23" s="19" t="n">
        <f aca="false">الأقسام!O10</f>
        <v>0</v>
      </c>
      <c r="H23" s="20" t="str">
        <f aca="false">الأقسام!P10</f>
        <v>متاح للحجز</v>
      </c>
    </row>
    <row r="24" customFormat="false" ht="15" hidden="false" customHeight="false" outlineLevel="0" collapsed="false">
      <c r="A24" s="32" t="str">
        <f aca="false">الأقسام!B11</f>
        <v>الجرد والتبرعات العينية</v>
      </c>
      <c r="B24" s="18" t="str">
        <f aca="false">الأقسام!H11&amp;""</f>
        <v/>
      </c>
      <c r="C24" s="18" t="n">
        <f aca="false">الأقسام!J11</f>
        <v>6</v>
      </c>
      <c r="D24" s="18" t="n">
        <f aca="false">الأقسام!K11</f>
        <v>0</v>
      </c>
      <c r="E24" s="18" t="n">
        <f aca="false">الأقسام!L11</f>
        <v>0</v>
      </c>
      <c r="F24" s="18" t="n">
        <f aca="false">الأقسام!M11</f>
        <v>0</v>
      </c>
      <c r="G24" s="19" t="n">
        <f aca="false">الأقسام!O11</f>
        <v>0</v>
      </c>
      <c r="H24" s="20" t="str">
        <f aca="false">الأقسام!P11</f>
        <v>متاح للحجز</v>
      </c>
    </row>
    <row r="25" customFormat="false" ht="15" hidden="false" customHeight="false" outlineLevel="0" collapsed="false">
      <c r="A25" s="32" t="str">
        <f aca="false">الأقسام!B12</f>
        <v>التقارير والتصدير</v>
      </c>
      <c r="B25" s="18" t="str">
        <f aca="false">الأقسام!H12&amp;""</f>
        <v/>
      </c>
      <c r="C25" s="18" t="n">
        <f aca="false">الأقسام!J12</f>
        <v>6</v>
      </c>
      <c r="D25" s="18" t="n">
        <f aca="false">الأقسام!K12</f>
        <v>0</v>
      </c>
      <c r="E25" s="18" t="n">
        <f aca="false">الأقسام!L12</f>
        <v>0</v>
      </c>
      <c r="F25" s="18" t="n">
        <f aca="false">الأقسام!M12</f>
        <v>0</v>
      </c>
      <c r="G25" s="19" t="n">
        <f aca="false">الأقسام!O12</f>
        <v>0</v>
      </c>
      <c r="H25" s="20" t="str">
        <f aca="false">الأقسام!P12</f>
        <v>متاح للحجز</v>
      </c>
    </row>
    <row r="26" customFormat="false" ht="15" hidden="false" customHeight="false" outlineLevel="0" collapsed="false">
      <c r="A26" s="32" t="str">
        <f aca="false">الأقسام!B13</f>
        <v>النسخ الاحتياطي والاستعادة</v>
      </c>
      <c r="B26" s="18" t="str">
        <f aca="false">الأقسام!H13&amp;""</f>
        <v/>
      </c>
      <c r="C26" s="18" t="n">
        <f aca="false">الأقسام!J13</f>
        <v>8</v>
      </c>
      <c r="D26" s="18" t="n">
        <f aca="false">الأقسام!K13</f>
        <v>0</v>
      </c>
      <c r="E26" s="18" t="n">
        <f aca="false">الأقسام!L13</f>
        <v>0</v>
      </c>
      <c r="F26" s="18" t="n">
        <f aca="false">الأقسام!M13</f>
        <v>0</v>
      </c>
      <c r="G26" s="19" t="n">
        <f aca="false">الأقسام!O13</f>
        <v>0</v>
      </c>
      <c r="H26" s="20" t="str">
        <f aca="false">الأقسام!P13</f>
        <v>متاح للحجز</v>
      </c>
    </row>
    <row r="27" customFormat="false" ht="15" hidden="false" customHeight="false" outlineLevel="0" collapsed="false">
      <c r="A27" s="32" t="str">
        <f aca="false">الأقسام!B14</f>
        <v>الاستعمال العام والاستكشاف الحر</v>
      </c>
      <c r="B27" s="18" t="str">
        <f aca="false">الأقسام!H14&amp;""</f>
        <v/>
      </c>
      <c r="C27" s="18" t="n">
        <f aca="false">الأقسام!J14</f>
        <v>6</v>
      </c>
      <c r="D27" s="18" t="n">
        <f aca="false">الأقسام!K14</f>
        <v>0</v>
      </c>
      <c r="E27" s="18" t="n">
        <f aca="false">الأقسام!L14</f>
        <v>0</v>
      </c>
      <c r="F27" s="18" t="n">
        <f aca="false">الأقسام!M14</f>
        <v>0</v>
      </c>
      <c r="G27" s="19" t="n">
        <f aca="false">الأقسام!O14</f>
        <v>0</v>
      </c>
      <c r="H27" s="20" t="str">
        <f aca="false">الأقسام!P14</f>
        <v>متاح للحجز</v>
      </c>
    </row>
    <row r="29" customFormat="false" ht="33.75" hidden="false" customHeight="true" outlineLevel="0" collapsed="false">
      <c r="A29" s="13" t="s">
        <v>1093</v>
      </c>
      <c r="B29" s="13" t="s">
        <v>1094</v>
      </c>
      <c r="C29" s="13" t="s">
        <v>33</v>
      </c>
      <c r="D29" s="13" t="s">
        <v>35</v>
      </c>
      <c r="E29" s="13" t="s">
        <v>37</v>
      </c>
      <c r="F29" s="13" t="s">
        <v>39</v>
      </c>
    </row>
    <row r="30" customFormat="false" ht="15" hidden="false" customHeight="false" outlineLevel="0" collapsed="false">
      <c r="A30" s="4" t="s">
        <v>1095</v>
      </c>
      <c r="B30" s="29" t="n">
        <f aca="false">COUNTIF('الأخطاء والملاحظات'!$F$2:$F$301,"?*")</f>
        <v>0</v>
      </c>
      <c r="C30" s="18" t="n">
        <f aca="false">COUNTIF('الأخطاء والملاحظات'!$E$2:$E$301,"عاجل")</f>
        <v>0</v>
      </c>
      <c r="D30" s="18" t="n">
        <f aca="false">COUNTIF('الأخطاء والملاحظات'!$E$2:$E$301,"مهم")</f>
        <v>0</v>
      </c>
      <c r="E30" s="18" t="n">
        <f aca="false">COUNTIF('الأخطاء والملاحظات'!$E$2:$E$301,"بسيط")</f>
        <v>0</v>
      </c>
      <c r="F30" s="18" t="n">
        <f aca="false">COUNTIF('الأخطاء والملاحظات'!$E$2:$E$301,"اقتراح")</f>
        <v>0</v>
      </c>
    </row>
    <row r="31" customFormat="false" ht="15" hidden="false" customHeight="false" outlineLevel="0" collapsed="false">
      <c r="A31" s="4" t="s">
        <v>1096</v>
      </c>
      <c r="B31" s="29" t="n">
        <f aca="false">COUNTIFS('الأخطاء والملاحظات'!$F$2:$F$301,"?*",'الأخطاء والملاحظات'!$J$2:$J$301,"")+COUNTIF('الأخطاء والملاحظات'!$J$2:$J$301,"جديد")</f>
        <v>0</v>
      </c>
      <c r="C31" s="18" t="n">
        <f aca="false">COUNTIFS('الأخطاء والملاحظات'!$E$2:$E$301,"عاجل",'الأخطاء والملاحظات'!$J$2:$J$301,"")+COUNTIFS('الأخطاء والملاحظات'!$E$2:$E$301,"عاجل",'الأخطاء والملاحظات'!$J$2:$J$301,"جديد")</f>
        <v>0</v>
      </c>
      <c r="D31" s="18" t="n">
        <f aca="false">COUNTIFS('الأخطاء والملاحظات'!$E$2:$E$301,"مهم",'الأخطاء والملاحظات'!$J$2:$J$301,"")+COUNTIFS('الأخطاء والملاحظات'!$E$2:$E$301,"مهم",'الأخطاء والملاحظات'!$J$2:$J$301,"جديد")</f>
        <v>0</v>
      </c>
      <c r="E31" s="18" t="n">
        <f aca="false">COUNTIFS('الأخطاء والملاحظات'!$E$2:$E$301,"بسيط",'الأخطاء والملاحظات'!$J$2:$J$301,"")+COUNTIFS('الأخطاء والملاحظات'!$E$2:$E$301,"بسيط",'الأخطاء والملاحظات'!$J$2:$J$301,"جديد")</f>
        <v>0</v>
      </c>
      <c r="F31" s="18" t="n">
        <f aca="false">COUNTIFS('الأخطاء والملاحظات'!$E$2:$E$301,"اقتراح",'الأخطاء والملاحظات'!$J$2:$J$301,"")+COUNTIFS('الأخطاء والملاحظات'!$E$2:$E$301,"اقتراح",'الأخطاء والملاحظات'!$J$2:$J$301,"جديد")</f>
        <v>0</v>
      </c>
    </row>
    <row r="32" customFormat="false" ht="15" hidden="false" customHeight="false" outlineLevel="0" collapsed="false">
      <c r="A32" s="4" t="s">
        <v>1097</v>
      </c>
      <c r="B32" s="29" t="n">
        <f aca="false">COUNTIF('الأخطاء والملاحظات'!$J$2:$J$301,"قيد الإصلاح")</f>
        <v>0</v>
      </c>
      <c r="C32" s="18" t="n">
        <f aca="false">COUNTIFS('الأخطاء والملاحظات'!$E$2:$E$301,"عاجل",'الأخطاء والملاحظات'!$J$2:$J$301,"قيد الإصلاح")</f>
        <v>0</v>
      </c>
      <c r="D32" s="18" t="n">
        <f aca="false">COUNTIFS('الأخطاء والملاحظات'!$E$2:$E$301,"مهم",'الأخطاء والملاحظات'!$J$2:$J$301,"قيد الإصلاح")</f>
        <v>0</v>
      </c>
      <c r="E32" s="18" t="n">
        <f aca="false">COUNTIFS('الأخطاء والملاحظات'!$E$2:$E$301,"بسيط",'الأخطاء والملاحظات'!$J$2:$J$301,"قيد الإصلاح")</f>
        <v>0</v>
      </c>
      <c r="F32" s="18" t="n">
        <f aca="false">COUNTIFS('الأخطاء والملاحظات'!$E$2:$E$301,"اقتراح",'الأخطاء والملاحظات'!$J$2:$J$301,"قيد الإصلاح")</f>
        <v>0</v>
      </c>
    </row>
    <row r="33" customFormat="false" ht="15" hidden="false" customHeight="false" outlineLevel="0" collapsed="false">
      <c r="A33" s="4" t="s">
        <v>1098</v>
      </c>
      <c r="B33" s="29" t="n">
        <f aca="false">COUNTIF('الأخطاء والملاحظات'!$J$2:$J$301,"تم الإصلاح")</f>
        <v>0</v>
      </c>
      <c r="C33" s="18" t="n">
        <f aca="false">COUNTIFS('الأخطاء والملاحظات'!$E$2:$E$301,"عاجل",'الأخطاء والملاحظات'!$J$2:$J$301,"تم الإصلاح")</f>
        <v>0</v>
      </c>
      <c r="D33" s="18" t="n">
        <f aca="false">COUNTIFS('الأخطاء والملاحظات'!$E$2:$E$301,"مهم",'الأخطاء والملاحظات'!$J$2:$J$301,"تم الإصلاح")</f>
        <v>0</v>
      </c>
      <c r="E33" s="18" t="n">
        <f aca="false">COUNTIFS('الأخطاء والملاحظات'!$E$2:$E$301,"بسيط",'الأخطاء والملاحظات'!$J$2:$J$301,"تم الإصلاح")</f>
        <v>0</v>
      </c>
      <c r="F33" s="18" t="n">
        <f aca="false">COUNTIFS('الأخطاء والملاحظات'!$E$2:$E$301,"اقتراح",'الأخطاء والملاحظات'!$J$2:$J$301,"تم الإصلاح")</f>
        <v>0</v>
      </c>
    </row>
    <row r="34" customFormat="false" ht="15" hidden="false" customHeight="false" outlineLevel="0" collapsed="false">
      <c r="A34" s="4" t="s">
        <v>1099</v>
      </c>
      <c r="B34" s="29" t="n">
        <f aca="false">COUNTIF('الأخطاء والملاحظات'!$J$2:$J$301,"يحتاج توضيح")</f>
        <v>0</v>
      </c>
      <c r="C34" s="18" t="n">
        <f aca="false">COUNTIFS('الأخطاء والملاحظات'!$E$2:$E$301,"عاجل",'الأخطاء والملاحظات'!$J$2:$J$301,"يحتاج توضيح")</f>
        <v>0</v>
      </c>
      <c r="D34" s="18" t="n">
        <f aca="false">COUNTIFS('الأخطاء والملاحظات'!$E$2:$E$301,"مهم",'الأخطاء والملاحظات'!$J$2:$J$301,"يحتاج توضيح")</f>
        <v>0</v>
      </c>
      <c r="E34" s="18" t="n">
        <f aca="false">COUNTIFS('الأخطاء والملاحظات'!$E$2:$E$301,"بسيط",'الأخطاء والملاحظات'!$J$2:$J$301,"يحتاج توضيح")</f>
        <v>0</v>
      </c>
      <c r="F34" s="18" t="n">
        <f aca="false">COUNTIFS('الأخطاء والملاحظات'!$E$2:$E$301,"اقتراح",'الأخطاء والملاحظات'!$J$2:$J$301,"يحتاج توضيح")</f>
        <v>0</v>
      </c>
    </row>
    <row r="35" customFormat="false" ht="15" hidden="false" customHeight="false" outlineLevel="0" collapsed="false">
      <c r="A35" s="4" t="s">
        <v>1100</v>
      </c>
      <c r="B35" s="29" t="n">
        <f aca="false">COUNTIF('الأخطاء والملاحظات'!$J$2:$J$301,"لن يُصلح")</f>
        <v>0</v>
      </c>
      <c r="C35" s="18" t="n">
        <f aca="false">COUNTIFS('الأخطاء والملاحظات'!$E$2:$E$301,"عاجل",'الأخطاء والملاحظات'!$J$2:$J$301,"لن يُصلح")</f>
        <v>0</v>
      </c>
      <c r="D35" s="18" t="n">
        <f aca="false">COUNTIFS('الأخطاء والملاحظات'!$E$2:$E$301,"مهم",'الأخطاء والملاحظات'!$J$2:$J$301,"لن يُصلح")</f>
        <v>0</v>
      </c>
      <c r="E35" s="18" t="n">
        <f aca="false">COUNTIFS('الأخطاء والملاحظات'!$E$2:$E$301,"بسيط",'الأخطاء والملاحظات'!$J$2:$J$301,"لن يُصلح")</f>
        <v>0</v>
      </c>
      <c r="F35" s="18" t="n">
        <f aca="false">COUNTIFS('الأخطاء والملاحظات'!$E$2:$E$301,"اقتراح",'الأخطاء والملاحظات'!$J$2:$J$301,"لن يُصلح")</f>
        <v>0</v>
      </c>
    </row>
    <row r="37" customFormat="false" ht="33.75" hidden="false" customHeight="true" outlineLevel="0" collapsed="false">
      <c r="A37" s="13" t="s">
        <v>145</v>
      </c>
      <c r="B37" s="13" t="s">
        <v>1101</v>
      </c>
      <c r="C37" s="13" t="s">
        <v>1102</v>
      </c>
      <c r="D37" s="13" t="s">
        <v>26</v>
      </c>
      <c r="E37" s="13" t="s">
        <v>28</v>
      </c>
      <c r="F37" s="13" t="s">
        <v>74</v>
      </c>
      <c r="G37" s="13" t="s">
        <v>1084</v>
      </c>
    </row>
    <row r="38" customFormat="false" ht="15" hidden="false" customHeight="false" outlineLevel="0" collapsed="false">
      <c r="A38" s="32" t="str">
        <f aca="false">المختبرون!A2&amp;""</f>
        <v/>
      </c>
      <c r="B38" s="18" t="str">
        <f aca="false">IF(المختبرون!$A2="","",المختبرون!D2)</f>
        <v/>
      </c>
      <c r="C38" s="18" t="str">
        <f aca="false">IF(المختبرون!$A2="","",المختبرون!E2)</f>
        <v/>
      </c>
      <c r="D38" s="18" t="str">
        <f aca="false">IF(المختبرون!$A2="","",المختبرون!F2)</f>
        <v/>
      </c>
      <c r="E38" s="18" t="str">
        <f aca="false">IF(المختبرون!$A2="","",المختبرون!G2)</f>
        <v/>
      </c>
      <c r="F38" s="19" t="str">
        <f aca="false">IF(المختبرون!$A2="","",المختبرون!H2)</f>
        <v/>
      </c>
      <c r="G38" s="18" t="str">
        <f aca="false">IF(المختبرون!$A2="","",المختبرون!I2)</f>
        <v/>
      </c>
    </row>
    <row r="39" customFormat="false" ht="15" hidden="false" customHeight="false" outlineLevel="0" collapsed="false">
      <c r="A39" s="32" t="str">
        <f aca="false">المختبرون!A3&amp;""</f>
        <v/>
      </c>
      <c r="B39" s="18" t="str">
        <f aca="false">IF(المختبرون!$A3="","",المختبرون!D3)</f>
        <v/>
      </c>
      <c r="C39" s="18" t="str">
        <f aca="false">IF(المختبرون!$A3="","",المختبرون!E3)</f>
        <v/>
      </c>
      <c r="D39" s="18" t="str">
        <f aca="false">IF(المختبرون!$A3="","",المختبرون!F3)</f>
        <v/>
      </c>
      <c r="E39" s="18" t="str">
        <f aca="false">IF(المختبرون!$A3="","",المختبرون!G3)</f>
        <v/>
      </c>
      <c r="F39" s="19" t="str">
        <f aca="false">IF(المختبرون!$A3="","",المختبرون!H3)</f>
        <v/>
      </c>
      <c r="G39" s="18" t="str">
        <f aca="false">IF(المختبرون!$A3="","",المختبرون!I3)</f>
        <v/>
      </c>
    </row>
    <row r="40" customFormat="false" ht="15" hidden="false" customHeight="false" outlineLevel="0" collapsed="false">
      <c r="A40" s="32" t="str">
        <f aca="false">المختبرون!A4&amp;""</f>
        <v/>
      </c>
      <c r="B40" s="18" t="str">
        <f aca="false">IF(المختبرون!$A4="","",المختبرون!D4)</f>
        <v/>
      </c>
      <c r="C40" s="18" t="str">
        <f aca="false">IF(المختبرون!$A4="","",المختبرون!E4)</f>
        <v/>
      </c>
      <c r="D40" s="18" t="str">
        <f aca="false">IF(المختبرون!$A4="","",المختبرون!F4)</f>
        <v/>
      </c>
      <c r="E40" s="18" t="str">
        <f aca="false">IF(المختبرون!$A4="","",المختبرون!G4)</f>
        <v/>
      </c>
      <c r="F40" s="19" t="str">
        <f aca="false">IF(المختبرون!$A4="","",المختبرون!H4)</f>
        <v/>
      </c>
      <c r="G40" s="18" t="str">
        <f aca="false">IF(المختبرون!$A4="","",المختبرون!I4)</f>
        <v/>
      </c>
    </row>
    <row r="41" customFormat="false" ht="15" hidden="false" customHeight="false" outlineLevel="0" collapsed="false">
      <c r="A41" s="32" t="str">
        <f aca="false">المختبرون!A5&amp;""</f>
        <v/>
      </c>
      <c r="B41" s="18" t="str">
        <f aca="false">IF(المختبرون!$A5="","",المختبرون!D5)</f>
        <v/>
      </c>
      <c r="C41" s="18" t="str">
        <f aca="false">IF(المختبرون!$A5="","",المختبرون!E5)</f>
        <v/>
      </c>
      <c r="D41" s="18" t="str">
        <f aca="false">IF(المختبرون!$A5="","",المختبرون!F5)</f>
        <v/>
      </c>
      <c r="E41" s="18" t="str">
        <f aca="false">IF(المختبرون!$A5="","",المختبرون!G5)</f>
        <v/>
      </c>
      <c r="F41" s="19" t="str">
        <f aca="false">IF(المختبرون!$A5="","",المختبرون!H5)</f>
        <v/>
      </c>
      <c r="G41" s="18" t="str">
        <f aca="false">IF(المختبرون!$A5="","",المختبرون!I5)</f>
        <v/>
      </c>
    </row>
    <row r="42" customFormat="false" ht="15" hidden="false" customHeight="false" outlineLevel="0" collapsed="false">
      <c r="A42" s="32" t="str">
        <f aca="false">المختبرون!A6&amp;""</f>
        <v/>
      </c>
      <c r="B42" s="18" t="str">
        <f aca="false">IF(المختبرون!$A6="","",المختبرون!D6)</f>
        <v/>
      </c>
      <c r="C42" s="18" t="str">
        <f aca="false">IF(المختبرون!$A6="","",المختبرون!E6)</f>
        <v/>
      </c>
      <c r="D42" s="18" t="str">
        <f aca="false">IF(المختبرون!$A6="","",المختبرون!F6)</f>
        <v/>
      </c>
      <c r="E42" s="18" t="str">
        <f aca="false">IF(المختبرون!$A6="","",المختبرون!G6)</f>
        <v/>
      </c>
      <c r="F42" s="19" t="str">
        <f aca="false">IF(المختبرون!$A6="","",المختبرون!H6)</f>
        <v/>
      </c>
      <c r="G42" s="18" t="str">
        <f aca="false">IF(المختبرون!$A6="","",المختبرون!I6)</f>
        <v/>
      </c>
    </row>
    <row r="43" customFormat="false" ht="15" hidden="false" customHeight="false" outlineLevel="0" collapsed="false">
      <c r="A43" s="32" t="str">
        <f aca="false">المختبرون!A7&amp;""</f>
        <v/>
      </c>
      <c r="B43" s="18" t="str">
        <f aca="false">IF(المختبرون!$A7="","",المختبرون!D7)</f>
        <v/>
      </c>
      <c r="C43" s="18" t="str">
        <f aca="false">IF(المختبرون!$A7="","",المختبرون!E7)</f>
        <v/>
      </c>
      <c r="D43" s="18" t="str">
        <f aca="false">IF(المختبرون!$A7="","",المختبرون!F7)</f>
        <v/>
      </c>
      <c r="E43" s="18" t="str">
        <f aca="false">IF(المختبرون!$A7="","",المختبرون!G7)</f>
        <v/>
      </c>
      <c r="F43" s="19" t="str">
        <f aca="false">IF(المختبرون!$A7="","",المختبرون!H7)</f>
        <v/>
      </c>
      <c r="G43" s="18" t="str">
        <f aca="false">IF(المختبرون!$A7="","",المختبرون!I7)</f>
        <v/>
      </c>
    </row>
    <row r="44" customFormat="false" ht="15" hidden="false" customHeight="false" outlineLevel="0" collapsed="false">
      <c r="A44" s="32" t="str">
        <f aca="false">المختبرون!A8&amp;""</f>
        <v/>
      </c>
      <c r="B44" s="18" t="str">
        <f aca="false">IF(المختبرون!$A8="","",المختبرون!D8)</f>
        <v/>
      </c>
      <c r="C44" s="18" t="str">
        <f aca="false">IF(المختبرون!$A8="","",المختبرون!E8)</f>
        <v/>
      </c>
      <c r="D44" s="18" t="str">
        <f aca="false">IF(المختبرون!$A8="","",المختبرون!F8)</f>
        <v/>
      </c>
      <c r="E44" s="18" t="str">
        <f aca="false">IF(المختبرون!$A8="","",المختبرون!G8)</f>
        <v/>
      </c>
      <c r="F44" s="19" t="str">
        <f aca="false">IF(المختبرون!$A8="","",المختبرون!H8)</f>
        <v/>
      </c>
      <c r="G44" s="18" t="str">
        <f aca="false">IF(المختبرون!$A8="","",المختبرون!I8)</f>
        <v/>
      </c>
    </row>
    <row r="45" customFormat="false" ht="15" hidden="false" customHeight="false" outlineLevel="0" collapsed="false">
      <c r="A45" s="32" t="str">
        <f aca="false">المختبرون!A9&amp;""</f>
        <v/>
      </c>
      <c r="B45" s="18" t="str">
        <f aca="false">IF(المختبرون!$A9="","",المختبرون!D9)</f>
        <v/>
      </c>
      <c r="C45" s="18" t="str">
        <f aca="false">IF(المختبرون!$A9="","",المختبرون!E9)</f>
        <v/>
      </c>
      <c r="D45" s="18" t="str">
        <f aca="false">IF(المختبرون!$A9="","",المختبرون!F9)</f>
        <v/>
      </c>
      <c r="E45" s="18" t="str">
        <f aca="false">IF(المختبرون!$A9="","",المختبرون!G9)</f>
        <v/>
      </c>
      <c r="F45" s="19" t="str">
        <f aca="false">IF(المختبرون!$A9="","",المختبرون!H9)</f>
        <v/>
      </c>
      <c r="G45" s="18" t="str">
        <f aca="false">IF(المختبرون!$A9="","",المختبرون!I9)</f>
        <v/>
      </c>
    </row>
    <row r="46" customFormat="false" ht="15" hidden="false" customHeight="false" outlineLevel="0" collapsed="false">
      <c r="A46" s="32" t="str">
        <f aca="false">المختبرون!A10&amp;""</f>
        <v/>
      </c>
      <c r="B46" s="18" t="str">
        <f aca="false">IF(المختبرون!$A10="","",المختبرون!D10)</f>
        <v/>
      </c>
      <c r="C46" s="18" t="str">
        <f aca="false">IF(المختبرون!$A10="","",المختبرون!E10)</f>
        <v/>
      </c>
      <c r="D46" s="18" t="str">
        <f aca="false">IF(المختبرون!$A10="","",المختبرون!F10)</f>
        <v/>
      </c>
      <c r="E46" s="18" t="str">
        <f aca="false">IF(المختبرون!$A10="","",المختبرون!G10)</f>
        <v/>
      </c>
      <c r="F46" s="19" t="str">
        <f aca="false">IF(المختبرون!$A10="","",المختبرون!H10)</f>
        <v/>
      </c>
      <c r="G46" s="18" t="str">
        <f aca="false">IF(المختبرون!$A10="","",المختبرون!I10)</f>
        <v/>
      </c>
    </row>
    <row r="47" customFormat="false" ht="15" hidden="false" customHeight="false" outlineLevel="0" collapsed="false">
      <c r="A47" s="32" t="str">
        <f aca="false">المختبرون!A11&amp;""</f>
        <v/>
      </c>
      <c r="B47" s="18" t="str">
        <f aca="false">IF(المختبرون!$A11="","",المختبرون!D11)</f>
        <v/>
      </c>
      <c r="C47" s="18" t="str">
        <f aca="false">IF(المختبرون!$A11="","",المختبرون!E11)</f>
        <v/>
      </c>
      <c r="D47" s="18" t="str">
        <f aca="false">IF(المختبرون!$A11="","",المختبرون!F11)</f>
        <v/>
      </c>
      <c r="E47" s="18" t="str">
        <f aca="false">IF(المختبرون!$A11="","",المختبرون!G11)</f>
        <v/>
      </c>
      <c r="F47" s="19" t="str">
        <f aca="false">IF(المختبرون!$A11="","",المختبرون!H11)</f>
        <v/>
      </c>
      <c r="G47" s="18" t="str">
        <f aca="false">IF(المختبرون!$A11="","",المختبرون!I11)</f>
        <v/>
      </c>
    </row>
    <row r="48" customFormat="false" ht="15" hidden="false" customHeight="false" outlineLevel="0" collapsed="false">
      <c r="A48" s="32" t="str">
        <f aca="false">المختبرون!A12&amp;""</f>
        <v/>
      </c>
      <c r="B48" s="18" t="str">
        <f aca="false">IF(المختبرون!$A12="","",المختبرون!D12)</f>
        <v/>
      </c>
      <c r="C48" s="18" t="str">
        <f aca="false">IF(المختبرون!$A12="","",المختبرون!E12)</f>
        <v/>
      </c>
      <c r="D48" s="18" t="str">
        <f aca="false">IF(المختبرون!$A12="","",المختبرون!F12)</f>
        <v/>
      </c>
      <c r="E48" s="18" t="str">
        <f aca="false">IF(المختبرون!$A12="","",المختبرون!G12)</f>
        <v/>
      </c>
      <c r="F48" s="19" t="str">
        <f aca="false">IF(المختبرون!$A12="","",المختبرون!H12)</f>
        <v/>
      </c>
      <c r="G48" s="18" t="str">
        <f aca="false">IF(المختبرون!$A12="","",المختبرون!I12)</f>
        <v/>
      </c>
    </row>
    <row r="49" customFormat="false" ht="15" hidden="false" customHeight="false" outlineLevel="0" collapsed="false">
      <c r="A49" s="32" t="str">
        <f aca="false">المختبرون!A13&amp;""</f>
        <v/>
      </c>
      <c r="B49" s="18" t="str">
        <f aca="false">IF(المختبرون!$A13="","",المختبرون!D13)</f>
        <v/>
      </c>
      <c r="C49" s="18" t="str">
        <f aca="false">IF(المختبرون!$A13="","",المختبرون!E13)</f>
        <v/>
      </c>
      <c r="D49" s="18" t="str">
        <f aca="false">IF(المختبرون!$A13="","",المختبرون!F13)</f>
        <v/>
      </c>
      <c r="E49" s="18" t="str">
        <f aca="false">IF(المختبرون!$A13="","",المختبرون!G13)</f>
        <v/>
      </c>
      <c r="F49" s="19" t="str">
        <f aca="false">IF(المختبرون!$A13="","",المختبرون!H13)</f>
        <v/>
      </c>
      <c r="G49" s="18" t="str">
        <f aca="false">IF(المختبرون!$A13="","",المختبرون!I13)</f>
        <v/>
      </c>
    </row>
    <row r="50" customFormat="false" ht="15" hidden="false" customHeight="false" outlineLevel="0" collapsed="false">
      <c r="A50" s="32" t="str">
        <f aca="false">المختبرون!A14&amp;""</f>
        <v/>
      </c>
      <c r="B50" s="18" t="str">
        <f aca="false">IF(المختبرون!$A14="","",المختبرون!D14)</f>
        <v/>
      </c>
      <c r="C50" s="18" t="str">
        <f aca="false">IF(المختبرون!$A14="","",المختبرون!E14)</f>
        <v/>
      </c>
      <c r="D50" s="18" t="str">
        <f aca="false">IF(المختبرون!$A14="","",المختبرون!F14)</f>
        <v/>
      </c>
      <c r="E50" s="18" t="str">
        <f aca="false">IF(المختبرون!$A14="","",المختبرون!G14)</f>
        <v/>
      </c>
      <c r="F50" s="19" t="str">
        <f aca="false">IF(المختبرون!$A14="","",المختبرون!H14)</f>
        <v/>
      </c>
      <c r="G50" s="18" t="str">
        <f aca="false">IF(المختبرون!$A14="","",المختبرون!I14)</f>
        <v/>
      </c>
    </row>
    <row r="51" customFormat="false" ht="15" hidden="false" customHeight="false" outlineLevel="0" collapsed="false">
      <c r="A51" s="32" t="str">
        <f aca="false">المختبرون!A15&amp;""</f>
        <v/>
      </c>
      <c r="B51" s="18" t="str">
        <f aca="false">IF(المختبرون!$A15="","",المختبرون!D15)</f>
        <v/>
      </c>
      <c r="C51" s="18" t="str">
        <f aca="false">IF(المختبرون!$A15="","",المختبرون!E15)</f>
        <v/>
      </c>
      <c r="D51" s="18" t="str">
        <f aca="false">IF(المختبرون!$A15="","",المختبرون!F15)</f>
        <v/>
      </c>
      <c r="E51" s="18" t="str">
        <f aca="false">IF(المختبرون!$A15="","",المختبرون!G15)</f>
        <v/>
      </c>
      <c r="F51" s="19" t="str">
        <f aca="false">IF(المختبرون!$A15="","",المختبرون!H15)</f>
        <v/>
      </c>
      <c r="G51" s="18" t="str">
        <f aca="false">IF(المختبرون!$A15="","",المختبرون!I15)</f>
        <v/>
      </c>
    </row>
    <row r="52" customFormat="false" ht="15" hidden="false" customHeight="false" outlineLevel="0" collapsed="false">
      <c r="A52" s="32" t="str">
        <f aca="false">المختبرون!A16&amp;""</f>
        <v/>
      </c>
      <c r="B52" s="18" t="str">
        <f aca="false">IF(المختبرون!$A16="","",المختبرون!D16)</f>
        <v/>
      </c>
      <c r="C52" s="18" t="str">
        <f aca="false">IF(المختبرون!$A16="","",المختبرون!E16)</f>
        <v/>
      </c>
      <c r="D52" s="18" t="str">
        <f aca="false">IF(المختبرون!$A16="","",المختبرون!F16)</f>
        <v/>
      </c>
      <c r="E52" s="18" t="str">
        <f aca="false">IF(المختبرون!$A16="","",المختبرون!G16)</f>
        <v/>
      </c>
      <c r="F52" s="19" t="str">
        <f aca="false">IF(المختبرون!$A16="","",المختبرون!H16)</f>
        <v/>
      </c>
      <c r="G52" s="18" t="str">
        <f aca="false">IF(المختبرون!$A16="","",المختبرون!I16)</f>
        <v/>
      </c>
    </row>
    <row r="53" customFormat="false" ht="15" hidden="false" customHeight="false" outlineLevel="0" collapsed="false">
      <c r="A53" s="32" t="str">
        <f aca="false">المختبرون!A17&amp;""</f>
        <v/>
      </c>
      <c r="B53" s="18" t="str">
        <f aca="false">IF(المختبرون!$A17="","",المختبرون!D17)</f>
        <v/>
      </c>
      <c r="C53" s="18" t="str">
        <f aca="false">IF(المختبرون!$A17="","",المختبرون!E17)</f>
        <v/>
      </c>
      <c r="D53" s="18" t="str">
        <f aca="false">IF(المختبرون!$A17="","",المختبرون!F17)</f>
        <v/>
      </c>
      <c r="E53" s="18" t="str">
        <f aca="false">IF(المختبرون!$A17="","",المختبرون!G17)</f>
        <v/>
      </c>
      <c r="F53" s="19" t="str">
        <f aca="false">IF(المختبرون!$A17="","",المختبرون!H17)</f>
        <v/>
      </c>
      <c r="G53" s="18" t="str">
        <f aca="false">IF(المختبرون!$A17="","",المختبرون!I17)</f>
        <v/>
      </c>
    </row>
    <row r="54" customFormat="false" ht="15" hidden="false" customHeight="false" outlineLevel="0" collapsed="false">
      <c r="A54" s="32" t="str">
        <f aca="false">المختبرون!A18&amp;""</f>
        <v/>
      </c>
      <c r="B54" s="18" t="str">
        <f aca="false">IF(المختبرون!$A18="","",المختبرون!D18)</f>
        <v/>
      </c>
      <c r="C54" s="18" t="str">
        <f aca="false">IF(المختبرون!$A18="","",المختبرون!E18)</f>
        <v/>
      </c>
      <c r="D54" s="18" t="str">
        <f aca="false">IF(المختبرون!$A18="","",المختبرون!F18)</f>
        <v/>
      </c>
      <c r="E54" s="18" t="str">
        <f aca="false">IF(المختبرون!$A18="","",المختبرون!G18)</f>
        <v/>
      </c>
      <c r="F54" s="19" t="str">
        <f aca="false">IF(المختبرون!$A18="","",المختبرون!H18)</f>
        <v/>
      </c>
      <c r="G54" s="18" t="str">
        <f aca="false">IF(المختبرون!$A18="","",المختبرون!I18)</f>
        <v/>
      </c>
    </row>
    <row r="55" customFormat="false" ht="15" hidden="false" customHeight="false" outlineLevel="0" collapsed="false">
      <c r="A55" s="32" t="str">
        <f aca="false">المختبرون!A19&amp;""</f>
        <v/>
      </c>
      <c r="B55" s="18" t="str">
        <f aca="false">IF(المختبرون!$A19="","",المختبرون!D19)</f>
        <v/>
      </c>
      <c r="C55" s="18" t="str">
        <f aca="false">IF(المختبرون!$A19="","",المختبرون!E19)</f>
        <v/>
      </c>
      <c r="D55" s="18" t="str">
        <f aca="false">IF(المختبرون!$A19="","",المختبرون!F19)</f>
        <v/>
      </c>
      <c r="E55" s="18" t="str">
        <f aca="false">IF(المختبرون!$A19="","",المختبرون!G19)</f>
        <v/>
      </c>
      <c r="F55" s="19" t="str">
        <f aca="false">IF(المختبرون!$A19="","",المختبرون!H19)</f>
        <v/>
      </c>
      <c r="G55" s="18" t="str">
        <f aca="false">IF(المختبرون!$A19="","",المختبرون!I19)</f>
        <v/>
      </c>
    </row>
    <row r="56" customFormat="false" ht="15" hidden="false" customHeight="false" outlineLevel="0" collapsed="false">
      <c r="A56" s="32" t="str">
        <f aca="false">المختبرون!A20&amp;""</f>
        <v/>
      </c>
      <c r="B56" s="18" t="str">
        <f aca="false">IF(المختبرون!$A20="","",المختبرون!D20)</f>
        <v/>
      </c>
      <c r="C56" s="18" t="str">
        <f aca="false">IF(المختبرون!$A20="","",المختبرون!E20)</f>
        <v/>
      </c>
      <c r="D56" s="18" t="str">
        <f aca="false">IF(المختبرون!$A20="","",المختبرون!F20)</f>
        <v/>
      </c>
      <c r="E56" s="18" t="str">
        <f aca="false">IF(المختبرون!$A20="","",المختبرون!G20)</f>
        <v/>
      </c>
      <c r="F56" s="19" t="str">
        <f aca="false">IF(المختبرون!$A20="","",المختبرون!H20)</f>
        <v/>
      </c>
      <c r="G56" s="18" t="str">
        <f aca="false">IF(المختبرون!$A20="","",المختبرون!I20)</f>
        <v/>
      </c>
    </row>
    <row r="57" customFormat="false" ht="15" hidden="false" customHeight="false" outlineLevel="0" collapsed="false">
      <c r="A57" s="32" t="str">
        <f aca="false">المختبرون!A21&amp;""</f>
        <v/>
      </c>
      <c r="B57" s="18" t="str">
        <f aca="false">IF(المختبرون!$A21="","",المختبرون!D21)</f>
        <v/>
      </c>
      <c r="C57" s="18" t="str">
        <f aca="false">IF(المختبرون!$A21="","",المختبرون!E21)</f>
        <v/>
      </c>
      <c r="D57" s="18" t="str">
        <f aca="false">IF(المختبرون!$A21="","",المختبرون!F21)</f>
        <v/>
      </c>
      <c r="E57" s="18" t="str">
        <f aca="false">IF(المختبرون!$A21="","",المختبرون!G21)</f>
        <v/>
      </c>
      <c r="F57" s="19" t="str">
        <f aca="false">IF(المختبرون!$A21="","",المختبرون!H21)</f>
        <v/>
      </c>
      <c r="G57" s="18" t="str">
        <f aca="false">IF(المختبرون!$A21="","",المختبرون!I21)</f>
        <v/>
      </c>
    </row>
    <row r="58" customFormat="false" ht="15" hidden="false" customHeight="false" outlineLevel="0" collapsed="false">
      <c r="A58" s="32" t="str">
        <f aca="false">المختبرون!A22&amp;""</f>
        <v/>
      </c>
      <c r="B58" s="18" t="str">
        <f aca="false">IF(المختبرون!$A22="","",المختبرون!D22)</f>
        <v/>
      </c>
      <c r="C58" s="18" t="str">
        <f aca="false">IF(المختبرون!$A22="","",المختبرون!E22)</f>
        <v/>
      </c>
      <c r="D58" s="18" t="str">
        <f aca="false">IF(المختبرون!$A22="","",المختبرون!F22)</f>
        <v/>
      </c>
      <c r="E58" s="18" t="str">
        <f aca="false">IF(المختبرون!$A22="","",المختبرون!G22)</f>
        <v/>
      </c>
      <c r="F58" s="19" t="str">
        <f aca="false">IF(المختبرون!$A22="","",المختبرون!H22)</f>
        <v/>
      </c>
      <c r="G58" s="18" t="str">
        <f aca="false">IF(المختبرون!$A22="","",المختبرون!I22)</f>
        <v/>
      </c>
    </row>
    <row r="59" customFormat="false" ht="15" hidden="false" customHeight="false" outlineLevel="0" collapsed="false">
      <c r="A59" s="32" t="str">
        <f aca="false">المختبرون!A23&amp;""</f>
        <v/>
      </c>
      <c r="B59" s="18" t="str">
        <f aca="false">IF(المختبرون!$A23="","",المختبرون!D23)</f>
        <v/>
      </c>
      <c r="C59" s="18" t="str">
        <f aca="false">IF(المختبرون!$A23="","",المختبرون!E23)</f>
        <v/>
      </c>
      <c r="D59" s="18" t="str">
        <f aca="false">IF(المختبرون!$A23="","",المختبرون!F23)</f>
        <v/>
      </c>
      <c r="E59" s="18" t="str">
        <f aca="false">IF(المختبرون!$A23="","",المختبرون!G23)</f>
        <v/>
      </c>
      <c r="F59" s="19" t="str">
        <f aca="false">IF(المختبرون!$A23="","",المختبرون!H23)</f>
        <v/>
      </c>
      <c r="G59" s="18" t="str">
        <f aca="false">IF(المختبرون!$A23="","",المختبرون!I23)</f>
        <v/>
      </c>
    </row>
    <row r="60" customFormat="false" ht="15" hidden="false" customHeight="false" outlineLevel="0" collapsed="false">
      <c r="A60" s="32" t="str">
        <f aca="false">المختبرون!A24&amp;""</f>
        <v/>
      </c>
      <c r="B60" s="18" t="str">
        <f aca="false">IF(المختبرون!$A24="","",المختبرون!D24)</f>
        <v/>
      </c>
      <c r="C60" s="18" t="str">
        <f aca="false">IF(المختبرون!$A24="","",المختبرون!E24)</f>
        <v/>
      </c>
      <c r="D60" s="18" t="str">
        <f aca="false">IF(المختبرون!$A24="","",المختبرون!F24)</f>
        <v/>
      </c>
      <c r="E60" s="18" t="str">
        <f aca="false">IF(المختبرون!$A24="","",المختبرون!G24)</f>
        <v/>
      </c>
      <c r="F60" s="19" t="str">
        <f aca="false">IF(المختبرون!$A24="","",المختبرون!H24)</f>
        <v/>
      </c>
      <c r="G60" s="18" t="str">
        <f aca="false">IF(المختبرون!$A24="","",المختبرون!I24)</f>
        <v/>
      </c>
    </row>
    <row r="61" customFormat="false" ht="15" hidden="false" customHeight="false" outlineLevel="0" collapsed="false">
      <c r="A61" s="32" t="str">
        <f aca="false">المختبرون!A25&amp;""</f>
        <v/>
      </c>
      <c r="B61" s="18" t="str">
        <f aca="false">IF(المختبرون!$A25="","",المختبرون!D25)</f>
        <v/>
      </c>
      <c r="C61" s="18" t="str">
        <f aca="false">IF(المختبرون!$A25="","",المختبرون!E25)</f>
        <v/>
      </c>
      <c r="D61" s="18" t="str">
        <f aca="false">IF(المختبرون!$A25="","",المختبرون!F25)</f>
        <v/>
      </c>
      <c r="E61" s="18" t="str">
        <f aca="false">IF(المختبرون!$A25="","",المختبرون!G25)</f>
        <v/>
      </c>
      <c r="F61" s="19" t="str">
        <f aca="false">IF(المختبرون!$A25="","",المختبرون!H25)</f>
        <v/>
      </c>
      <c r="G61" s="18" t="str">
        <f aca="false">IF(المختبرون!$A25="","",المختبرون!I25)</f>
        <v/>
      </c>
    </row>
    <row r="62" customFormat="false" ht="15" hidden="false" customHeight="false" outlineLevel="0" collapsed="false">
      <c r="A62" s="32" t="str">
        <f aca="false">المختبرون!A26&amp;""</f>
        <v/>
      </c>
      <c r="B62" s="18" t="str">
        <f aca="false">IF(المختبرون!$A26="","",المختبرون!D26)</f>
        <v/>
      </c>
      <c r="C62" s="18" t="str">
        <f aca="false">IF(المختبرون!$A26="","",المختبرون!E26)</f>
        <v/>
      </c>
      <c r="D62" s="18" t="str">
        <f aca="false">IF(المختبرون!$A26="","",المختبرون!F26)</f>
        <v/>
      </c>
      <c r="E62" s="18" t="str">
        <f aca="false">IF(المختبرون!$A26="","",المختبرون!G26)</f>
        <v/>
      </c>
      <c r="F62" s="19" t="str">
        <f aca="false">IF(المختبرون!$A26="","",المختبرون!H26)</f>
        <v/>
      </c>
      <c r="G62" s="18" t="str">
        <f aca="false">IF(المختبرون!$A26="","",المختبرون!I26)</f>
        <v/>
      </c>
    </row>
    <row r="63" customFormat="false" ht="15" hidden="false" customHeight="false" outlineLevel="0" collapsed="false">
      <c r="A63" s="32" t="str">
        <f aca="false">المختبرون!A27&amp;""</f>
        <v/>
      </c>
      <c r="B63" s="18" t="str">
        <f aca="false">IF(المختبرون!$A27="","",المختبرون!D27)</f>
        <v/>
      </c>
      <c r="C63" s="18" t="str">
        <f aca="false">IF(المختبرون!$A27="","",المختبرون!E27)</f>
        <v/>
      </c>
      <c r="D63" s="18" t="str">
        <f aca="false">IF(المختبرون!$A27="","",المختبرون!F27)</f>
        <v/>
      </c>
      <c r="E63" s="18" t="str">
        <f aca="false">IF(المختبرون!$A27="","",المختبرون!G27)</f>
        <v/>
      </c>
      <c r="F63" s="19" t="str">
        <f aca="false">IF(المختبرون!$A27="","",المختبرون!H27)</f>
        <v/>
      </c>
      <c r="G63" s="18" t="str">
        <f aca="false">IF(المختبرون!$A27="","",المختبرون!I27)</f>
        <v/>
      </c>
    </row>
    <row r="64" customFormat="false" ht="15" hidden="false" customHeight="false" outlineLevel="0" collapsed="false">
      <c r="A64" s="32" t="str">
        <f aca="false">المختبرون!A28&amp;""</f>
        <v/>
      </c>
      <c r="B64" s="18" t="str">
        <f aca="false">IF(المختبرون!$A28="","",المختبرون!D28)</f>
        <v/>
      </c>
      <c r="C64" s="18" t="str">
        <f aca="false">IF(المختبرون!$A28="","",المختبرون!E28)</f>
        <v/>
      </c>
      <c r="D64" s="18" t="str">
        <f aca="false">IF(المختبرون!$A28="","",المختبرون!F28)</f>
        <v/>
      </c>
      <c r="E64" s="18" t="str">
        <f aca="false">IF(المختبرون!$A28="","",المختبرون!G28)</f>
        <v/>
      </c>
      <c r="F64" s="19" t="str">
        <f aca="false">IF(المختبرون!$A28="","",المختبرون!H28)</f>
        <v/>
      </c>
      <c r="G64" s="18" t="str">
        <f aca="false">IF(المختبرون!$A28="","",المختبرون!I28)</f>
        <v/>
      </c>
    </row>
    <row r="65" customFormat="false" ht="15" hidden="false" customHeight="false" outlineLevel="0" collapsed="false">
      <c r="A65" s="32" t="str">
        <f aca="false">المختبرون!A29&amp;""</f>
        <v/>
      </c>
      <c r="B65" s="18" t="str">
        <f aca="false">IF(المختبرون!$A29="","",المختبرون!D29)</f>
        <v/>
      </c>
      <c r="C65" s="18" t="str">
        <f aca="false">IF(المختبرون!$A29="","",المختبرون!E29)</f>
        <v/>
      </c>
      <c r="D65" s="18" t="str">
        <f aca="false">IF(المختبرون!$A29="","",المختبرون!F29)</f>
        <v/>
      </c>
      <c r="E65" s="18" t="str">
        <f aca="false">IF(المختبرون!$A29="","",المختبرون!G29)</f>
        <v/>
      </c>
      <c r="F65" s="19" t="str">
        <f aca="false">IF(المختبرون!$A29="","",المختبرون!H29)</f>
        <v/>
      </c>
      <c r="G65" s="18" t="str">
        <f aca="false">IF(المختبرون!$A29="","",المختبرون!I29)</f>
        <v/>
      </c>
    </row>
    <row r="66" customFormat="false" ht="15" hidden="false" customHeight="false" outlineLevel="0" collapsed="false">
      <c r="A66" s="32" t="str">
        <f aca="false">المختبرون!A30&amp;""</f>
        <v/>
      </c>
      <c r="B66" s="18" t="str">
        <f aca="false">IF(المختبرون!$A30="","",المختبرون!D30)</f>
        <v/>
      </c>
      <c r="C66" s="18" t="str">
        <f aca="false">IF(المختبرون!$A30="","",المختبرون!E30)</f>
        <v/>
      </c>
      <c r="D66" s="18" t="str">
        <f aca="false">IF(المختبرون!$A30="","",المختبرون!F30)</f>
        <v/>
      </c>
      <c r="E66" s="18" t="str">
        <f aca="false">IF(المختبرون!$A30="","",المختبرون!G30)</f>
        <v/>
      </c>
      <c r="F66" s="19" t="str">
        <f aca="false">IF(المختبرون!$A30="","",المختبرون!H30)</f>
        <v/>
      </c>
      <c r="G66" s="18" t="str">
        <f aca="false">IF(المختبرون!$A30="","",المختبرون!I30)</f>
        <v/>
      </c>
    </row>
    <row r="67" customFormat="false" ht="15" hidden="false" customHeight="false" outlineLevel="0" collapsed="false">
      <c r="A67" s="32" t="str">
        <f aca="false">المختبرون!A31&amp;""</f>
        <v/>
      </c>
      <c r="B67" s="18" t="str">
        <f aca="false">IF(المختبرون!$A31="","",المختبرون!D31)</f>
        <v/>
      </c>
      <c r="C67" s="18" t="str">
        <f aca="false">IF(المختبرون!$A31="","",المختبرون!E31)</f>
        <v/>
      </c>
      <c r="D67" s="18" t="str">
        <f aca="false">IF(المختبرون!$A31="","",المختبرون!F31)</f>
        <v/>
      </c>
      <c r="E67" s="18" t="str">
        <f aca="false">IF(المختبرون!$A31="","",المختبرون!G31)</f>
        <v/>
      </c>
      <c r="F67" s="19" t="str">
        <f aca="false">IF(المختبرون!$A31="","",المختبرون!H31)</f>
        <v/>
      </c>
      <c r="G67" s="18" t="str">
        <f aca="false">IF(المختبرون!$A31="","",المختبرون!I31)</f>
        <v/>
      </c>
    </row>
    <row r="68" customFormat="false" ht="15" hidden="false" customHeight="false" outlineLevel="0" collapsed="false">
      <c r="A68" s="32" t="str">
        <f aca="false">المختبرون!A32&amp;""</f>
        <v/>
      </c>
      <c r="B68" s="18" t="str">
        <f aca="false">IF(المختبرون!$A32="","",المختبرون!D32)</f>
        <v/>
      </c>
      <c r="C68" s="18" t="str">
        <f aca="false">IF(المختبرون!$A32="","",المختبرون!E32)</f>
        <v/>
      </c>
      <c r="D68" s="18" t="str">
        <f aca="false">IF(المختبرون!$A32="","",المختبرون!F32)</f>
        <v/>
      </c>
      <c r="E68" s="18" t="str">
        <f aca="false">IF(المختبرون!$A32="","",المختبرون!G32)</f>
        <v/>
      </c>
      <c r="F68" s="19" t="str">
        <f aca="false">IF(المختبرون!$A32="","",المختبرون!H32)</f>
        <v/>
      </c>
      <c r="G68" s="18" t="str">
        <f aca="false">IF(المختبرون!$A32="","",المختبرون!I32)</f>
        <v/>
      </c>
    </row>
    <row r="69" customFormat="false" ht="15" hidden="false" customHeight="false" outlineLevel="0" collapsed="false">
      <c r="A69" s="32" t="str">
        <f aca="false">المختبرون!A33&amp;""</f>
        <v/>
      </c>
      <c r="B69" s="18" t="str">
        <f aca="false">IF(المختبرون!$A33="","",المختبرون!D33)</f>
        <v/>
      </c>
      <c r="C69" s="18" t="str">
        <f aca="false">IF(المختبرون!$A33="","",المختبرون!E33)</f>
        <v/>
      </c>
      <c r="D69" s="18" t="str">
        <f aca="false">IF(المختبرون!$A33="","",المختبرون!F33)</f>
        <v/>
      </c>
      <c r="E69" s="18" t="str">
        <f aca="false">IF(المختبرون!$A33="","",المختبرون!G33)</f>
        <v/>
      </c>
      <c r="F69" s="19" t="str">
        <f aca="false">IF(المختبرون!$A33="","",المختبرون!H33)</f>
        <v/>
      </c>
      <c r="G69" s="18" t="str">
        <f aca="false">IF(المختبرون!$A33="","",المختبرون!I33)</f>
        <v/>
      </c>
    </row>
    <row r="70" customFormat="false" ht="15" hidden="false" customHeight="false" outlineLevel="0" collapsed="false">
      <c r="A70" s="32" t="str">
        <f aca="false">المختبرون!A34&amp;""</f>
        <v/>
      </c>
      <c r="B70" s="18" t="str">
        <f aca="false">IF(المختبرون!$A34="","",المختبرون!D34)</f>
        <v/>
      </c>
      <c r="C70" s="18" t="str">
        <f aca="false">IF(المختبرون!$A34="","",المختبرون!E34)</f>
        <v/>
      </c>
      <c r="D70" s="18" t="str">
        <f aca="false">IF(المختبرون!$A34="","",المختبرون!F34)</f>
        <v/>
      </c>
      <c r="E70" s="18" t="str">
        <f aca="false">IF(المختبرون!$A34="","",المختبرون!G34)</f>
        <v/>
      </c>
      <c r="F70" s="19" t="str">
        <f aca="false">IF(المختبرون!$A34="","",المختبرون!H34)</f>
        <v/>
      </c>
      <c r="G70" s="18" t="str">
        <f aca="false">IF(المختبرون!$A34="","",المختبرون!I34)</f>
        <v/>
      </c>
    </row>
    <row r="71" customFormat="false" ht="15" hidden="false" customHeight="false" outlineLevel="0" collapsed="false">
      <c r="A71" s="32" t="str">
        <f aca="false">المختبرون!A35&amp;""</f>
        <v/>
      </c>
      <c r="B71" s="18" t="str">
        <f aca="false">IF(المختبرون!$A35="","",المختبرون!D35)</f>
        <v/>
      </c>
      <c r="C71" s="18" t="str">
        <f aca="false">IF(المختبرون!$A35="","",المختبرون!E35)</f>
        <v/>
      </c>
      <c r="D71" s="18" t="str">
        <f aca="false">IF(المختبرون!$A35="","",المختبرون!F35)</f>
        <v/>
      </c>
      <c r="E71" s="18" t="str">
        <f aca="false">IF(المختبرون!$A35="","",المختبرون!G35)</f>
        <v/>
      </c>
      <c r="F71" s="19" t="str">
        <f aca="false">IF(المختبرون!$A35="","",المختبرون!H35)</f>
        <v/>
      </c>
      <c r="G71" s="18" t="str">
        <f aca="false">IF(المختبرون!$A35="","",المختبرون!I35)</f>
        <v/>
      </c>
    </row>
    <row r="72" customFormat="false" ht="15" hidden="false" customHeight="false" outlineLevel="0" collapsed="false">
      <c r="A72" s="32" t="str">
        <f aca="false">المختبرون!A36&amp;""</f>
        <v/>
      </c>
      <c r="B72" s="18" t="str">
        <f aca="false">IF(المختبرون!$A36="","",المختبرون!D36)</f>
        <v/>
      </c>
      <c r="C72" s="18" t="str">
        <f aca="false">IF(المختبرون!$A36="","",المختبرون!E36)</f>
        <v/>
      </c>
      <c r="D72" s="18" t="str">
        <f aca="false">IF(المختبرون!$A36="","",المختبرون!F36)</f>
        <v/>
      </c>
      <c r="E72" s="18" t="str">
        <f aca="false">IF(المختبرون!$A36="","",المختبرون!G36)</f>
        <v/>
      </c>
      <c r="F72" s="19" t="str">
        <f aca="false">IF(المختبرون!$A36="","",المختبرون!H36)</f>
        <v/>
      </c>
      <c r="G72" s="18" t="str">
        <f aca="false">IF(المختبرون!$A36="","",المختبرون!I36)</f>
        <v/>
      </c>
    </row>
    <row r="73" customFormat="false" ht="15" hidden="false" customHeight="false" outlineLevel="0" collapsed="false">
      <c r="A73" s="32" t="str">
        <f aca="false">المختبرون!A37&amp;""</f>
        <v/>
      </c>
      <c r="B73" s="18" t="str">
        <f aca="false">IF(المختبرون!$A37="","",المختبرون!D37)</f>
        <v/>
      </c>
      <c r="C73" s="18" t="str">
        <f aca="false">IF(المختبرون!$A37="","",المختبرون!E37)</f>
        <v/>
      </c>
      <c r="D73" s="18" t="str">
        <f aca="false">IF(المختبرون!$A37="","",المختبرون!F37)</f>
        <v/>
      </c>
      <c r="E73" s="18" t="str">
        <f aca="false">IF(المختبرون!$A37="","",المختبرون!G37)</f>
        <v/>
      </c>
      <c r="F73" s="19" t="str">
        <f aca="false">IF(المختبرون!$A37="","",المختبرون!H37)</f>
        <v/>
      </c>
      <c r="G73" s="18" t="str">
        <f aca="false">IF(المختبرون!$A37="","",المختبرون!I37)</f>
        <v/>
      </c>
    </row>
    <row r="74" customFormat="false" ht="15" hidden="false" customHeight="false" outlineLevel="0" collapsed="false">
      <c r="A74" s="32" t="str">
        <f aca="false">المختبرون!A38&amp;""</f>
        <v/>
      </c>
      <c r="B74" s="18" t="str">
        <f aca="false">IF(المختبرون!$A38="","",المختبرون!D38)</f>
        <v/>
      </c>
      <c r="C74" s="18" t="str">
        <f aca="false">IF(المختبرون!$A38="","",المختبرون!E38)</f>
        <v/>
      </c>
      <c r="D74" s="18" t="str">
        <f aca="false">IF(المختبرون!$A38="","",المختبرون!F38)</f>
        <v/>
      </c>
      <c r="E74" s="18" t="str">
        <f aca="false">IF(المختبرون!$A38="","",المختبرون!G38)</f>
        <v/>
      </c>
      <c r="F74" s="19" t="str">
        <f aca="false">IF(المختبرون!$A38="","",المختبرون!H38)</f>
        <v/>
      </c>
      <c r="G74" s="18" t="str">
        <f aca="false">IF(المختبرون!$A38="","",المختبرون!I38)</f>
        <v/>
      </c>
    </row>
    <row r="75" customFormat="false" ht="15" hidden="false" customHeight="false" outlineLevel="0" collapsed="false">
      <c r="A75" s="32" t="str">
        <f aca="false">المختبرون!A39&amp;""</f>
        <v/>
      </c>
      <c r="B75" s="18" t="str">
        <f aca="false">IF(المختبرون!$A39="","",المختبرون!D39)</f>
        <v/>
      </c>
      <c r="C75" s="18" t="str">
        <f aca="false">IF(المختبرون!$A39="","",المختبرون!E39)</f>
        <v/>
      </c>
      <c r="D75" s="18" t="str">
        <f aca="false">IF(المختبرون!$A39="","",المختبرون!F39)</f>
        <v/>
      </c>
      <c r="E75" s="18" t="str">
        <f aca="false">IF(المختبرون!$A39="","",المختبرون!G39)</f>
        <v/>
      </c>
      <c r="F75" s="19" t="str">
        <f aca="false">IF(المختبرون!$A39="","",المختبرون!H39)</f>
        <v/>
      </c>
      <c r="G75" s="18" t="str">
        <f aca="false">IF(المختبرون!$A39="","",المختبرون!I39)</f>
        <v/>
      </c>
    </row>
    <row r="76" customFormat="false" ht="15" hidden="false" customHeight="false" outlineLevel="0" collapsed="false">
      <c r="A76" s="32" t="str">
        <f aca="false">المختبرون!A40&amp;""</f>
        <v/>
      </c>
      <c r="B76" s="18" t="str">
        <f aca="false">IF(المختبرون!$A40="","",المختبرون!D40)</f>
        <v/>
      </c>
      <c r="C76" s="18" t="str">
        <f aca="false">IF(المختبرون!$A40="","",المختبرون!E40)</f>
        <v/>
      </c>
      <c r="D76" s="18" t="str">
        <f aca="false">IF(المختبرون!$A40="","",المختبرون!F40)</f>
        <v/>
      </c>
      <c r="E76" s="18" t="str">
        <f aca="false">IF(المختبرون!$A40="","",المختبرون!G40)</f>
        <v/>
      </c>
      <c r="F76" s="19" t="str">
        <f aca="false">IF(المختبرون!$A40="","",المختبرون!H40)</f>
        <v/>
      </c>
      <c r="G76" s="18" t="str">
        <f aca="false">IF(المختبرون!$A40="","",المختبرون!I40)</f>
        <v/>
      </c>
    </row>
    <row r="77" customFormat="false" ht="15" hidden="false" customHeight="false" outlineLevel="0" collapsed="false">
      <c r="A77" s="32" t="str">
        <f aca="false">المختبرون!A41&amp;""</f>
        <v/>
      </c>
      <c r="B77" s="18" t="str">
        <f aca="false">IF(المختبرون!$A41="","",المختبرون!D41)</f>
        <v/>
      </c>
      <c r="C77" s="18" t="str">
        <f aca="false">IF(المختبرون!$A41="","",المختبرون!E41)</f>
        <v/>
      </c>
      <c r="D77" s="18" t="str">
        <f aca="false">IF(المختبرون!$A41="","",المختبرون!F41)</f>
        <v/>
      </c>
      <c r="E77" s="18" t="str">
        <f aca="false">IF(المختبرون!$A41="","",المختبرون!G41)</f>
        <v/>
      </c>
      <c r="F77" s="19" t="str">
        <f aca="false">IF(المختبرون!$A41="","",المختبرون!H41)</f>
        <v/>
      </c>
      <c r="G77" s="18" t="str">
        <f aca="false">IF(المختبرون!$A41="","",المختبرون!I41)</f>
        <v/>
      </c>
    </row>
  </sheetData>
  <conditionalFormatting sqref="A5:A9">
    <cfRule type="expression" priority="2" aboveAverage="0" equalAverage="0" bottom="0" percent="0" rank="0" text="" dxfId="0">
      <formula>A5="نجح"</formula>
    </cfRule>
    <cfRule type="expression" priority="3" aboveAverage="0" equalAverage="0" bottom="0" percent="0" rank="0" text="" dxfId="1">
      <formula>A5="فشل"</formula>
    </cfRule>
    <cfRule type="expression" priority="4" aboveAverage="0" equalAverage="0" bottom="0" percent="0" rank="0" text="" dxfId="2">
      <formula>A5="متوقف"</formula>
    </cfRule>
    <cfRule type="expression" priority="5" aboveAverage="0" equalAverage="0" bottom="0" percent="0" rank="0" text="" dxfId="3">
      <formula>A5="قيد التنفيذ"</formula>
    </cfRule>
  </conditionalFormatting>
  <conditionalFormatting sqref="H15:H27">
    <cfRule type="expression" priority="6" aboveAverage="0" equalAverage="0" bottom="0" percent="0" rank="0" text="" dxfId="3">
      <formula>H15="متاح للحجز"</formula>
    </cfRule>
    <cfRule type="expression" priority="7" aboveAverage="0" equalAverage="0" bottom="0" percent="0" rank="0" text="" dxfId="2">
      <formula>H15="قيد الاختبار"</formula>
    </cfRule>
    <cfRule type="expression" priority="8" aboveAverage="0" equalAverage="0" bottom="0" percent="0" rank="0" text="" dxfId="0">
      <formula>H15="مكتمل"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2026-09-27T13:35:03Z</dcterms:created>
  <dc:creator>openpyxl</dc:creator>
  <dc:description/>
  <dc:language>en-US</dc:language>
  <cp:lastModifiedBy/>
  <dcterms:modified xsi:type="dcterms:W3CDTF">2026-09-27T13:35:03Z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